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_TU_DANH_GIA" sheetId="1" r:id="rId4"/>
    <sheet state="visible" name="2_THANH_VIEN" sheetId="2" r:id="rId5"/>
    <sheet state="visible" name="3_CHECKLIST_DEMO" sheetId="3" r:id="rId6"/>
    <sheet state="visible" name="4_HUONG_DAN" sheetId="4" r:id="rId7"/>
    <sheet state="visible" name="5_DIEM_CONG_NANG_CAO" sheetId="5" r:id="rId8"/>
  </sheets>
  <definedNames/>
  <calcPr/>
  <extLst>
    <ext uri="GoogleSheetsCustomDataVersion2">
      <go:sheetsCustomData xmlns:go="http://customooxmlschemas.google.com/" r:id="rId9" roundtripDataChecksum="uk3ard8aPDQ+M0YrB+d1mXUQsCBPZjcpwOLUefgffAk="/>
    </ext>
  </extLst>
</workbook>
</file>

<file path=xl/sharedStrings.xml><?xml version="1.0" encoding="utf-8"?>
<sst xmlns="http://schemas.openxmlformats.org/spreadsheetml/2006/main" count="662" uniqueCount="474">
  <si>
    <t>PHÂN CÔNG &amp; TỰ ĐÁNH GIÁ ĐÓNG GÓP THÀNH VIÊN</t>
  </si>
  <si>
    <t>CHECKLIST DEMO &amp; KIỂM TRA KIẾN TRÚC</t>
  </si>
  <si>
    <t>TEMPLATE TỰ ĐÁNH GIÁ ĐỒ ÁN CUỐI KỲ – CRYPTO STRATEGY LAB</t>
  </si>
  <si>
    <t>HƯỚNG DẪN SỬ DỤNG TEMPLATE</t>
  </si>
  <si>
    <t>Nhập phần trăm đóng góp theo tổng 100%. Ghi rõ module/công việc và minh chứng (commit, PR, file, video hoặc phần báo cáo) để tránh đánh giá cảm tính.</t>
  </si>
  <si>
    <t>Dùng sheet này trước khi nộp và trước buổi demo. Mỗi bước nên có người phụ trách và minh chứng ngắn để demo không bị thiếu flow.</t>
  </si>
  <si>
    <t>1. Mục tiêu</t>
  </si>
  <si>
    <t>STT</t>
  </si>
  <si>
    <t>Template giúp nhóm sinh viên tự kiểm tra trước khi nộp đồ án. Trọng tâm là chất lượng kiến trúc phần mềm và khả năng mở rộng/thay đổi của hệ thống, không phải chứng minh strategy kiếm tiền tốt.</t>
  </si>
  <si>
    <t>MSSV</t>
  </si>
  <si>
    <t>Họ và tên</t>
  </si>
  <si>
    <t>Vai trò chính</t>
  </si>
  <si>
    <t>Đóng góp (%)</t>
  </si>
  <si>
    <t>Tên đề tài</t>
  </si>
  <si>
    <t>Công việc đã thực hiện</t>
  </si>
  <si>
    <t>Minh chứng</t>
  </si>
  <si>
    <t>Ghi chú</t>
  </si>
  <si>
    <t>Bước</t>
  </si>
  <si>
    <t>Kịch bản demo end-to-end</t>
  </si>
  <si>
    <t>Kết quả mong đợi</t>
  </si>
  <si>
    <t>Trạng thái</t>
  </si>
  <si>
    <t>Người phụ trách</t>
  </si>
  <si>
    <t>2. Cách dùng nhanh</t>
  </si>
  <si>
    <t>CryptoBot</t>
  </si>
  <si>
    <t>(1) Điền thông tin/link ở sheet 1. (2) Điền đóng góp thành viên ở sheet 2. (3) Chấm từng tiêu chí mức 0–4 và dán minh chứng. (4) Sửa các dòng 'Thiếu minh chứng'. (5) Chạy toàn bộ checklist demo ở sheet 3.</t>
  </si>
  <si>
    <t>Mở BTCUSDT với 4 timeframe</t>
  </si>
  <si>
    <t>Link GitHub</t>
  </si>
  <si>
    <t>4 chart realtime (ví dụ 5m | 15m | 1h | 4h) hiển thị ổn định.</t>
  </si>
  <si>
    <t>3. Thang điểm 0</t>
  </si>
  <si>
    <t>Chưa có chức năng/kiến trúc tương ứng hoặc không chạy được.</t>
  </si>
  <si>
    <t>https://github.com/EnsoTech-Studio/CryptoBot</t>
  </si>
  <si>
    <t>Có sẵn trên UI</t>
  </si>
  <si>
    <t>4. Thang điểm 1</t>
  </si>
  <si>
    <t>Có prototype nhưng thiếu nhiều yêu cầu, coupling cao, không ổn định hoặc gần như chưa có minh chứng.</t>
  </si>
  <si>
    <t>Chọn MA, RSI, Bollinger, Support/Resistance</t>
  </si>
  <si>
    <t>Các strategy được bật/chọn mà không ảnh hưởng module khác.</t>
  </si>
  <si>
    <t>5. Thang điểm 2</t>
  </si>
  <si>
    <t>Đạt một phần; chạy được nhưng còn thiếu yêu cầu quan trọng hoặc chưa chứng minh rõ thiết kế.</t>
  </si>
  <si>
    <t>Bấm START SEARCH</t>
  </si>
  <si>
    <t>Search loop bắt đầu, có trạng thái chạy rõ ràng.</t>
  </si>
  <si>
    <t>6. Thang điểm 3</t>
  </si>
  <si>
    <t>Đạt yêu cầu cơ bản, demo được end-to-end và có minh chứng đủ để người chấm kiểm tra.</t>
  </si>
  <si>
    <t>Thêm UI tracing hiện phần loop chạy (Thêm rồi)</t>
  </si>
  <si>
    <t>Quan sát candidate đang backtest</t>
  </si>
  <si>
    <t>Hiển thị candidate tested/current candidate/backtesting progress hoặc log tương đương.</t>
  </si>
  <si>
    <t>7. Thang điểm 4</t>
  </si>
  <si>
    <t>Đạt tốt/vượt yêu cầu: thiết kế modular, thay đổi ít ảnh hưởng, ổn định, có đo lường/test/minh chứng rõ.</t>
  </si>
  <si>
    <t>Nhóm tiêu chí</t>
  </si>
  <si>
    <t>Điểm tối đa</t>
  </si>
  <si>
    <t>8. Các chức năng bắt buộc cần rà soát</t>
  </si>
  <si>
    <t>Quan sát Leaderboard cập nhật</t>
  </si>
  <si>
    <t>Điểm đạt</t>
  </si>
  <si>
    <t>Top-K thay đổi khi candidate mới có score tốt hơn.</t>
  </si>
  <si>
    <t>Binance data; candlestick + realtime + tối đa 4 timeframe; ≥4 strategy; composite; backtest; Return/Win Rate/MDD/Trades; Random Search; Top-K; Buy/Sell + Entry/Exit; news collect/store/sentiment.</t>
  </si>
  <si>
    <t>Nhóm / Lớp</t>
  </si>
  <si>
    <t>Click Top strategy</t>
  </si>
  <si>
    <t>Chart hiển thị strategy, indicator/zone và Buy/Sell.</t>
  </si>
  <si>
    <t>23KTPM1</t>
  </si>
  <si>
    <t>9. Các câu hỏi kiến trúc nên trả lời</t>
  </si>
  <si>
    <t>Thêm strategy mới sửa gì? Đổi search algorithm có ảnh hưởng backtester không? Thêm provider mới frontend có đổi không? Scale 100→100.000 backtest ra sao? News lỗi chart còn chạy không? Đổi sentiment model ảnh hưởng gì? Binance disconnect phục hồi thế nào? Leaderboard trace strategy version ra sao?</t>
  </si>
  <si>
    <t>Link video demo</t>
  </si>
  <si>
    <t>Mở Trade Detail / Metrics</t>
  </si>
  <si>
    <t>Xem được trades, Return, Win Rate, MDD, Number of Trades.</t>
  </si>
  <si>
    <t>10. Anti-pattern cần tránh</t>
  </si>
  <si>
    <t>God Service; hard-coded strategy combinations; frontend chứa business logic/backtest/ranking; Strategy truy cập DB trực tiếp; crawler phụ thuộc chặt vào ML model.</t>
  </si>
  <si>
    <t>TỔNG ĐÓNG GÓP</t>
  </si>
  <si>
    <t>Mở News</t>
  </si>
  <si>
    <t>Hiển thị tin BTC/coin liên quan và sentiment summary.</t>
  </si>
  <si>
    <t>11. Phần nâng cao</t>
  </si>
  <si>
    <t>Không tự cộng điểm chỉ vì dùng Redis/Kafka/Microservices/AI/Genetic/LLM. Chỉ chấm cao khi nhóm giải thích công nghệ giải quyết vấn đề kiến trúc nào và có minh chứng độ phức tạp/công sức.</t>
  </si>
  <si>
    <t>Tích hợp SentimentStrategy (nếu có)</t>
  </si>
  <si>
    <t>Sentiment có thể trở thành input/strategy mà không phá Strategy Engine.</t>
  </si>
  <si>
    <t>Có sẵn trên UI 
Thêm và đặt tên rồi chạy backtest</t>
  </si>
  <si>
    <t>Kiến trúc phần mềm</t>
  </si>
  <si>
    <t>12. Hồ sơ nộp</t>
  </si>
  <si>
    <t>Source code; README (Install/Run/Architecture/Demo); Architecture Document; ADR; demo gồm realtime chart, multi-timeframe, strategy, combination, backtest, leaderboard, trade visualization, news và sentiment.</t>
  </si>
  <si>
    <t>Chạy lại search/composite</t>
  </si>
  <si>
    <t>Có thể thử MA+RSI+Sentiment hoặc combination khác và tiếp tục vòng lặp.</t>
  </si>
  <si>
    <t>Nguồn xây dựng template</t>
  </si>
  <si>
    <t>Crypto Strategy Lab – Đồ án cuối kỳ(3).pdf và file mẫu 22127480-22127211-Tự đánh giá.xlsx do người dùng cung cấp.</t>
  </si>
  <si>
    <t>SCENARIO KIỂM TRA CHẤT LƯỢNG KIẾN TRÚC</t>
  </si>
  <si>
    <t>13. Tự khai chức năng mở rộng / điểm cộng</t>
  </si>
  <si>
    <t>Dùng sheet 5_DIEM_CONG_NANG_CAO. Chỉ điền các mục nhóm thực sự triển khai vượt các chức năng/yêu cầu bắt buộc của đề bài; không cần điền tất cả.</t>
  </si>
  <si>
    <t>Trưởng nhóm</t>
  </si>
  <si>
    <t>#</t>
  </si>
  <si>
    <t>Scenario</t>
  </si>
  <si>
    <t>Điều cần chứng minh</t>
  </si>
  <si>
    <t>Phan Trung Nhựt</t>
  </si>
  <si>
    <t>14. Minh chứng nâng cao</t>
  </si>
  <si>
    <t>Mỗi mục nên có ít nhất: mô tả implementation, module liên quan, link code/commit/ADR, kịch bản demo và kết quả test/measurement.</t>
  </si>
  <si>
    <t>Link báo cáo</t>
  </si>
  <si>
    <t>Thêm MACDStrategy</t>
  </si>
  <si>
    <t>https://github.com/EnsoTech-Studio/CryptoBot/tree/main/blueprint</t>
  </si>
  <si>
    <t>Chỉ thêm class/plugin + register; không sửa nhiều controller/backtester/evaluator/UI.</t>
  </si>
  <si>
    <t>15. Quyền quyết định điểm cộng</t>
  </si>
  <si>
    <t>Đạt</t>
  </si>
  <si>
    <t>Sinh viên không tự cộng vào tổng điểm. Giảng viên xem xét mức độ vượt yêu cầu bắt buộc, chất lượng triển khai và minh chứng ở cột cuối của sheet 5.</t>
  </si>
  <si>
    <t>Demo thêm code vào python, một file strategy rồi tích hợp vào (hoặc có cách khác thì cũng ok)</t>
  </si>
  <si>
    <t>Đổi Random Search → Domain-guided/Genetic</t>
  </si>
  <si>
    <t>Các component phía sau vẫn chỉ nhận CandidateStrategy; Backtester không phải sửa.</t>
  </si>
  <si>
    <t>Demo trên UI của web</t>
  </si>
  <si>
    <t>Thêm Market Data Provider mới</t>
  </si>
  <si>
    <t>Frontend và Strategy Engine không phụ thuộc trực tiếp schema/provider cụ thể.</t>
  </si>
  <si>
    <t>Chức năng yêu cầu</t>
  </si>
  <si>
    <t>Binance WebSocket disconnect</t>
  </si>
  <si>
    <t>Có reconnect/retry và cơ chế tránh mất/nhảy dữ liệu bất hợp lý.</t>
  </si>
  <si>
    <t>Demo tắt realtime 
Nói về cách lưu backup vào postgre</t>
  </si>
  <si>
    <t>News Service lỗi</t>
  </si>
  <si>
    <t>Chart/market data vẫn hoạt động; lỗi được cô lập và quan sát được.</t>
  </si>
  <si>
    <t>Ngày tự đánh giá</t>
  </si>
  <si>
    <t>Tắt news service trong docker</t>
  </si>
  <si>
    <t>Trace một dòng Leaderboard</t>
  </si>
  <si>
    <t>Truy được strategy version, parameters, dataset/timeframe và trades đã tạo score.</t>
  </si>
  <si>
    <t>Link hướng dẫn cài đặt</t>
  </si>
  <si>
    <t>Trên UI</t>
  </si>
  <si>
    <t>Scale số backtest</t>
  </si>
  <si>
    <t>Giải thích hoặc demo queue/worker/batch/concurrency khi tăng từ 100 lên nhiều candidate.</t>
  </si>
  <si>
    <t>Demo chạy script test</t>
  </si>
  <si>
    <t>Hồ sơ &amp; tài liệu</t>
  </si>
  <si>
    <t>Link deployment (nếu có)</t>
  </si>
  <si>
    <t>Demo &amp; độ tin cậy</t>
  </si>
  <si>
    <t>Thang tự đánh giá 0–4: 0 = chưa có/không chạy; 1 = rất thiếu; 2 = đạt một phần; 3 = đạt yêu cầu cơ bản và demo được; 4 = tốt/vượt yêu cầu, có minh chứng rõ.</t>
  </si>
  <si>
    <t>Mở rộng có giá trị</t>
  </si>
  <si>
    <t>TỔNG</t>
  </si>
  <si>
    <t>TỔNG ĐIỂM / 100</t>
  </si>
  <si>
    <t>QUY ĐỔI / 10</t>
  </si>
  <si>
    <t>TIÊU CHÍ ĐẠT (≥3)</t>
  </si>
  <si>
    <t>THIẾU MINH CHỨNG</t>
  </si>
  <si>
    <t>Nguyên tắc: đồ án tập trung vào KIẾN TRÚC PHẦN MỀM. Phải chứng minh công nghệ giải quyết vấn đề kiến trúc nào.</t>
  </si>
  <si>
    <t>Tiêu chí</t>
  </si>
  <si>
    <t>Yêu cầu cần đạt / minh chứng nên có</t>
  </si>
  <si>
    <t>Mức tự đánh giá
(0–4)</t>
  </si>
  <si>
    <t>Điểm quy đổi</t>
  </si>
  <si>
    <t>Minh chứng / link(Có thể cập nhật đến hết ngày 4/9)</t>
  </si>
  <si>
    <t>Ghi chú / kế hoạch hoàn thiện</t>
  </si>
  <si>
    <t>Cảnh báo</t>
  </si>
  <si>
    <t>A. Kiến trúc phần mềm</t>
  </si>
  <si>
    <t>Khả năng mở rộng Strategy / Plugin</t>
  </si>
  <si>
    <t>Có abstraction/interface Strategy; thêm strategy mới (ví dụ MACD) với thay đổi tối thiểu; không hard-code if/else theo từng strategy.</t>
  </si>
  <si>
    <t>https://github.com/EnsoTech-Studio/CryptoBot/blob/d39f3510fcec0e2716caef4c5670ec955d0a2cc2/app/domain/strategy/registry.py#L19-L40</t>
  </si>
  <si>
    <t>Nhóm đã tách phần logic chiến lược thành các plugin độc lập và quản lý qua Registry. Khi bổ sung strategy mới, nhóm chỉ cần thêm plugin, metadata và test tương ứng; thời gian tới sẽ tiếp tục bổ sung test hồi quy cho strategy sinh từ LLM.</t>
  </si>
  <si>
    <t>Tách trách nhiệm &amp; giảm coupling</t>
  </si>
  <si>
    <t>Strategy chỉ xử lý logic strategy; tách Market Data, Backtest, Evaluator, Ranking, News, Sentiment, UI; tránh God Service và business logic ở frontend.</t>
  </si>
  <si>
    <t>https://github.com/EnsoTech-Studio/CryptoBot/blob/d39f3510fcec0e2716caef4c5670ec955d0a2cc2/blueprint/design.md#L87-L93</t>
  </si>
  <si>
    <t>Các trách nhiệm chính đã được chia theo boundary: Go xử lý public edge và market realtime, Python xử lý research/backtest, còn frontend chỉ hiển thị và gọi API. Nhóm sẽ duy trì nguyên tắc không đưa business logic vào UI khi phát triển thêm chức năng.</t>
  </si>
  <si>
    <t>Khả năng thay thế thành phần</t>
  </si>
  <si>
    <t>Có thể thay Random Search → Domain-guided/Genetic, Binance → provider khác, hoặc sentiment model mà không phải viết lại các module phía sau.</t>
  </si>
  <si>
    <t>https://github.com/EnsoTech-Studio/CryptoBot/blob/d39f3510fcec0e2716caef4c5670ec955d0a2cc2/server/internal/infrastructure/market/registry.go#L10-L39</t>
  </si>
  <si>
    <t>Search generator và market provider đều đi qua contract/registry, giúp thay thế implementation mà không ảnh hưởng các module phía sau. Kế hoạch tiếp theo là thêm test contract chung khi mở rộng thêm provider hoặc thuật toán search.</t>
  </si>
  <si>
    <t>Scalability &amp; Performance</t>
  </si>
  <si>
    <t>Giải thích/triển khai hướng mở rộng từ hàng trăm lên nhiều candidate; có queue/worker hoặc giải pháp tương đương khi phù hợp; có đo thời gian backtest.</t>
  </si>
  <si>
    <t>https://github.com/EnsoTech-Studio/CryptoBot/blob/d39f3510fcec0e2716caef4c5670ec955d0a2cc2/docs/benchmark-100k-2026-09-03.json#L1-L17</t>
  </si>
  <si>
    <t>Backtest đã chạy bất đồng bộ qua PostgreSQL queue và worker có thể tăng replica. Nhóm đã đo 100.000 job với 4 worker; nếu có thêm thời gian sẽ đo tiếp 8/16 worker và theo dõi queue depth để đánh giá giới hạn thực tế.</t>
  </si>
  <si>
    <t>Realtime &amp; Multi-timeframe</t>
  </si>
  <si>
    <t>Realtime flow rõ ràng (stream/WebSocket); tối đa 4 chart, mỗi chart đổi timeframe độc lập; frontend không phụ thuộc trực tiếp schema Binance.</t>
  </si>
  <si>
    <t>https://github.com/EnsoTech-Studio/CryptoBot/blob/d39f3510fcec0e2716caef4c5670ec955d0a2cc2/server/internal/infrastructure/postgres/store.go#L177-L228</t>
  </si>
  <si>
    <t>Luồng realtime đã dùng WebSocket, checkpoint và dữ liệu market có provider/symbol/timeframe rõ ràng để mỗi chart đổi timeframe độc lập. Nhóm sẽ tiếp tục kiểm tra giao diện ở nhiều kích thước màn hình và tình huống stream stale.</t>
  </si>
  <si>
    <t>Reliability &amp; Observability</t>
  </si>
  <si>
    <t>Có xử lý disconnect/retry/reconnect, lỗi worker/job; theo dõi trạng thái loop, số candidate, thời gian backtest, job lỗi, Top-1 hiện tại.</t>
  </si>
  <si>
    <t>https://github.com/EnsoTech-Studio/CryptoBot/blob/d39f3510fcec0e2716caef4c5670ec955d0a2cc2/docs/architecture/architectural-drivers.md#L11-L14</t>
  </si>
  <si>
    <t>Cơ chế lease, heartbeat, retry và outbox đã giúp worker không bị mất job khi process dừng giữa chừng. Phần cần hoàn thiện thêm là chuẩn hóa dashboard quan sát queue depth, retry count và thời gian xử lý theo môi trường demo.</t>
  </si>
  <si>
    <t>Reproducibility &amp; Versioning</t>
  </si>
  <si>
    <t>Strategy/experiment có version; một kết quả leaderboard truy vết được dataset, timeframe, parameters, strategy version và trade result.</t>
  </si>
  <si>
    <t>https://github.com/EnsoTech-Studio/CryptoBot/blob/d39f3510fcec0e2716caef4c5670ec955d0a2cc2/blueprint/design.md#L1864-L1864</t>
  </si>
  <si>
    <t>Mỗi experiment lưu dataset, strategy version, parameter, result hash và các fact giao dịch để có thể truy vết lại kết quả. Nhóm sẽ bổ sung thêm màn hình provenance ngắn gọn hơn để người demo kiểm tra đầu vào của một leaderboard entry nhanh hơn.</t>
  </si>
  <si>
    <t>B. Chức năng yêu cầu</t>
  </si>
  <si>
    <t>Market Data &amp; Candlestick</t>
  </si>
  <si>
    <t>Lấy historical + realtime data từ Binance; candlestick/volume hiển thị đúng; cập nhật liên tục và ổn định.</t>
  </si>
  <si>
    <t>https://github.com/EnsoTech-Studio/CryptoBot/blob/d39f3510fcec0e2716caef4c5670ec955d0a2cc2/server/internal/infrastructure/market/binance.go#L84-L110</t>
  </si>
  <si>
    <t>Market gateway đã chuẩn hóa candle/BBO từ provider và hỗ trợ historical data lẫn realtime stream. Nhóm sẽ tiếp tục seed thêm dataset nhỏ phục vụ demo offline, đồng thời kiểm tra dữ liệu live trước khi thuyết trình.</t>
  </si>
  <si>
    <t>Strategy Engine ≥ 4 strategy</t>
  </si>
  <si>
    <t>Có ít nhất 4 strategy đơn lẻ (ví dụ MA, RSI, Bollinger, Support/Resistance) theo một contract tín hiệu chuẩn BUY/SELL/HOLD hoặc tương đương.</t>
  </si>
  <si>
    <t>https://github.com/EnsoTech-Studio/CryptoBot/blob/d39f3510fcec0e2716caef4c5670ec955d0a2cc2/app/domain/strategy/plugins/catalog.py#L103-L120</t>
  </si>
  <si>
    <t>Registry hiện có nhiều strategy như RSI, MA Cross, MACD, Bollinger, Support/Resistance, SMC và News Sentiment. Nhóm sẽ rà lại mô tả, tham số mặc định và overlay của từng strategy để phần demo dễ theo dõi hơn.</t>
  </si>
  <si>
    <t>Composite Strategy</t>
  </si>
  <si>
    <t>Kết hợp được nhiều strategy; có quy tắc xử lý xung đột (majority vote, weighted combination hoặc phương pháp khác) và giải thích được.</t>
  </si>
  <si>
    <t>https://github.com/EnsoTech-Studio/CryptoBot/blob/d39f3510fcec0e2716caef4c5670ec955d0a2cc2/app/domain/strategy/composite/contract.py#L41-L117</t>
  </si>
  <si>
    <t>Composite strategy hỗ trợ kết hợp nhiều strategy với policy và trọng số được lưu thành snapshot. Kế hoạch tiếp theo là bổ sung thêm ví dụ cấu hình mẫu để người dùng hiểu nhanh sự khác nhau giữa weighted vote và các policy khác.</t>
  </si>
  <si>
    <t>Backtesting Engine</t>
  </si>
  <si>
    <t>Giả lập giao dịch trên historical data; sinh được entry/exit/trades; tách backtest khỏi strategy implementation.</t>
  </si>
  <si>
    <t>https://github.com/EnsoTech-Studio/CryptoBot/blob/d39f3510fcec0e2716caef4c5670ec955d0a2cc2/app/services/backtest_engine.py#L545-L610</t>
  </si>
  <si>
    <t>Backtest engine chạy trên snapshot market, candle/BBO và mô phỏng entry, exit, fee, slippage, LONG/SHORT cùng SL/TP. Nhóm sẽ tiếp tục kiểm tra các cấu hình biên và trình bày rõ giả định fill policy trong lúc demo.</t>
  </si>
  <si>
    <t>Strategy Evaluation</t>
  </si>
  <si>
    <t>Tối thiểu có Return, Win Rate, Max Drawdown, Number of Trades; nên có Profit Factor/Sharpe; evaluator tách riêng.</t>
  </si>
  <si>
    <t>https://github.com/EnsoTech-Studio/CryptoBot/blob/d39f3510fcec0e2716caef4c5670ec955d0a2cc2/app/services/evaluator.py#L35-L111</t>
  </si>
  <si>
    <t>Evaluator tách riêng khỏi backtest để tính các metric như return, win rate, drawdown, profit factor và Sharpe. Nhóm sẽ giữ nguyên policy đánh giá theo version để các kết quả cũ vẫn có thể giải thích và so sánh lại.</t>
  </si>
  <si>
    <t>Strategy Search &amp; Stop Condition</t>
  </si>
  <si>
    <t>Có ít nhất Random Search; generate → backtest → evaluate → rank; có điều kiện dừng rõ (số candidate/thời gian/no-improvement).</t>
  </si>
  <si>
    <t>https://github.com/EnsoTech-Studio/CryptoBot/blob/d39f3510fcec0e2716caef4c5670ec955d0a2cc2/app/services/search.py#L35-L50</t>
  </si>
  <si>
    <t>Search flow đã có generate, backtest, evaluate, rank, stop condition và quota cho từng run. Phần hoàn thiện thêm là chuẩn bị một search run mẫu có dữ liệu nhỏ để demo tiến trình nhanh, tránh phải chờ quá lâu trên máy trình chiếu.</t>
  </si>
  <si>
    <t>Leaderboard Top-K</t>
  </si>
  <si>
    <t>Hiển thị Top-K strategy; rank/sort theo metric hoặc overall score; candidate mới có thể cập nhật leaderboard.</t>
  </si>
  <si>
    <t>https://github.com/EnsoTech-Studio/CryptoBot/blob/d39f3510fcec0e2716caef4c5670ec955d0a2cc2/app/infrastructure/postgres/store.py#L2600-L2690</t>
  </si>
  <si>
    <t>Leaderboard lưu các entry theo evaluation và có API truy vết provenance thay vì chỉ hiển thị một bảng điểm. Nhóm sẽ chuẩn bị dữ liệu demo ổn định để thứ hạng hiển thị nhất quán trong phần vấn đáp.</t>
  </si>
  <si>
    <t>Visualization Strategy &amp; Trade</t>
  </si>
  <si>
    <t>Chart hiển thị Buy/Sell, Entry/Exit và indicator/zone liên quan; xem được trade detail và highlight giao dịch.</t>
  </si>
  <si>
    <t>https://github.com/EnsoTech-Studio/CryptoBot/blob/d39f3510fcec0e2716caef4c5670ec955d0a2cc2/app/services/chart_overlays.py#L15-L27</t>
  </si>
  <si>
    <t>Chart hiển thị candlestick, indicator overlay, signal marker và trade marker từ backend canonical runtime. Kế hoạch là kiểm tra lại cách hiển thị entry/exit/SL/TP trên một dataset cố định để tránh nhầm lẫn giữa tín hiệu và lệnh khớp.</t>
  </si>
  <si>
    <t>News Collector</t>
  </si>
  <si>
    <t>Có pipeline collect → normalize → store; provider abstraction; NewsItem có các trường chính như title, content/source, publishedAt, relatedCoins, url.</t>
  </si>
  <si>
    <t>https://github.com/EnsoTech-Studio/CryptoBot/blob/d39f3510fcec0e2716caef4c5670ec955d0a2cc2/app/services/news.py#L38-L151</t>
  </si>
  <si>
    <t>News pipeline thu thập nguồn đã phê duyệt, lưu item và có quality gate cho HTML. Nhóm sẽ tiếp tục rà lại danh sách nguồn demo và chuẩn bị dữ liệu dự phòng nếu một website bên ngoài thay đổi hoặc không phản hồi.</t>
  </si>
  <si>
    <t>Sentiment Analysis</t>
  </si>
  <si>
    <t>Phân tích POSITIVE/NEUTRAL/NEGATIVE (hoặc score tương đương); kết quả lưu được; có thể tích hợp sentiment thành strategy nếu nhóm triển khai.</t>
  </si>
  <si>
    <t>https://github.com/EnsoTech-Studio/CryptoBot/blob/d39f3510fcec0e2716caef4c5670ec955d0a2cc2/app/domain/strategy/plugins/news_sentiment.py#L7-L47</t>
  </si>
  <si>
    <t>Sentiment được lưu theo model/version và có thể dùng trong NewsSentimentStrategy thay vì chỉ là nhãn trên giao diện. Nhóm sẽ nêu rõ trong demo rằng sentiment là tín hiệu hỗ trợ nghiên cứu, không phải khuyến nghị giao dịch.</t>
  </si>
  <si>
    <t>C. Hồ sơ &amp; tài liệu</t>
  </si>
  <si>
    <t>Source code + README</t>
  </si>
  <si>
    <t>Repository hoàn chỉnh; README có Install, Run, Architecture, Demo; nếu private phải cấp quyền cho giảng viên.</t>
  </si>
  <si>
    <t>https://github.com/EnsoTech-Studio/CryptoBot/blob/d39f3510fcec0e2716caef4c5670ec955d0a2cc2/README.md#L1-L5</t>
  </si>
  <si>
    <t>Repository có README hướng dẫn kiến trúc, cách chạy service, worker và các kịch bản kiểm thử chính. Nhóm sẽ rà lại lệnh khởi động trên máy demo để đảm bảo thành viên khác clone về vẫn chạy được.</t>
  </si>
  <si>
    <t>Architecture Document</t>
  </si>
  <si>
    <t>Có System Context, module/container decomposition, component responsibilities, Data Flow, Realtime Flow, Strategy Flow, Search/Backtest Flow.</t>
  </si>
  <si>
    <t>https://github.com/EnsoTech-Studio/CryptoBot/blob/d39f3510fcec0e2716caef4c5670ec955d0a2cc2/blueprint/design.md#L38-L87</t>
  </si>
  <si>
    <t>Blueprint mô tả C4, component boundary, data flow, deployment, quality attributes và các scenario quan trọng. Nhóm sẽ giữ đồng bộ tài liệu với source sau mỗi thay đổi cuối cùng trước ngày nộp.</t>
  </si>
  <si>
    <t>Architectural Decision Records (ADR)</t>
  </si>
  <si>
    <t>Có các quyết định chính và lý do: WebSocket/stream, plugin architecture, queue/worker, tách Sentiment Service... hoặc ADR tương đương.</t>
  </si>
  <si>
    <t>https://github.com/EnsoTech-Studio/CryptoBot/blob/d39f3510fcec0e2716caef4c5670ec955d0a2cc2/blueprint/design.md#L3565-L3743</t>
  </si>
  <si>
    <t>Các ADR đã ghi rõ lý do chọn WebSocket, Plugin Registry, PostgreSQL queue, outbox, async backtest, versioning và boundary Go/Python. Khi vấn đáp, nhóm sẽ tập trung giải thích trade-off thay vì chỉ liệt kê công nghệ.</t>
  </si>
  <si>
    <t>Video/demo &amp; link minh chứng</t>
  </si>
  <si>
    <t>Link demo, báo cáo, hướng dẫn cài đặt hoạt động; minh chứng được gắn trực tiếp vào rubric để người chấm kiểm tra nhanh.</t>
  </si>
  <si>
    <t>https://github.com/EnsoTech-Studio/CryptoBot/blob/d39f3510fcec0e2716caef4c5670ec955d0a2cc2/Slide/main.md#L1-L80</t>
  </si>
  <si>
    <t>Slide và kịch bản demo đã được chuẩn bị cùng các đường dẫn source/test liên quan. Nhóm sẽ quay hoặc cập nhật video demo cuối, kiểm tra lại link và dùng cùng một dataset để tránh khác biệt kết quả khi trình bày.</t>
  </si>
  <si>
    <t>D. Demo &amp; độ tin cậy</t>
  </si>
  <si>
    <t>Demo end-to-end</t>
  </si>
  <si>
    <t>Trình diễn được flow: dữ liệu realtime → chọn strategy → search → backtest → evaluate → leaderboard → click strategy → visualize → news/sentiment.</t>
  </si>
  <si>
    <t>https://github.com/EnsoTech-Studio/CryptoBot/blob/d39f3510fcec0e2716caef4c5670ec955d0a2cc2/scripts/rehearsal-smoke.ps1#L53-L80</t>
  </si>
  <si>
    <t>Kịch bản end-to-end bao gồm đăng nhập, chọn dataset/strategy, tạo experiment, theo dõi trạng thái và xem trades/metrics/leaderboard. Nhóm sẽ rehearsal trước để tránh phụ thuộc vào dữ liệu live hoặc Internet trong lúc demo.</t>
  </si>
  <si>
    <t>Scenario kiến trúc / xử lý lỗi</t>
  </si>
  <si>
    <t>Chứng minh ít nhất 2 scenario: thêm MACD ít sửa code; đổi search algorithm; disconnect Binance; News lỗi nhưng chart vẫn chạy; trace strategy version.</t>
  </si>
  <si>
    <t>https://github.com/EnsoTech-Studio/CryptoBot/blob/d39f3510fcec0e2716caef4c5670ec955d0a2cc2/scripts/failure-contract-smoke.ps1#L10-L26</t>
  </si>
  <si>
    <t>Nhóm đã chuẩn bị scenario cho reconnect market, worker retry/lease reclaim, outbox idempotency và AI/news unavailable. Phần trình bày sẽ giải thích cơ chế phục hồi theo flow thay vì cố tạo lỗi ngẫu nhiên ngay trên máy thuyết trình.</t>
  </si>
  <si>
    <t>E. Mở rộng có giá trị</t>
  </si>
  <si>
    <t>Phần nâng cao có mục tiêu kiến trúc rõ</t>
  </si>
  <si>
    <t>Ví dụ Genetic/Bayesian/LLM search, worker pool, multiple exchanges, market regime, ML nâng cao... Chỉ tự chấm cao khi chứng minh công sức, độ phức tạp và vấn đề kiến trúc được giải quyết.</t>
  </si>
  <si>
    <t>Các phần mở rộng được chọn theo vấn đề kiến trúc thực tế: provider replacement, worker pool, authoring có sandbox, news self-healing và provenance. Nhóm sẽ chỉ trình bày phần đã có code/đo lường, không xem việc dùng nhiều công nghệ là điểm cộng tự động.</t>
  </si>
  <si>
    <t>PHIẾU TỰ KHAI CHỨC NĂNG NÂNG CAO – GIẢNG VIÊN XEM XÉT ĐIỂM CỘNG</t>
  </si>
  <si>
    <t>Mục đích: Nhóm chỉ khai những phần thực sự vượt các chức năng/yêu cầu bắt buộc của đề bài. Đây KHÔNG phải điểm tự động; giảng viên quyết định có cộng điểm hay không sau khi xem code, demo và minh chứng.</t>
  </si>
  <si>
    <t>Nguyên tắc: Không được xem là nâng cao chỉ vì dùng công nghệ phức tạp. Nhóm phải nêu rõ: (1) đã làm gì; (2) giải quyết vấn đề kiến trúc nào; (3) vượt yêu cầu bắt buộc ở điểm nào; (4) minh chứng ở đâu; (5) demo/đo lường kết quả ra sao.</t>
  </si>
  <si>
    <t>TÓM TẮT TỰ KHAI</t>
  </si>
  <si>
    <t>Giá trị</t>
  </si>
  <si>
    <t>Số mục hoàn thành &amp; demo được</t>
  </si>
  <si>
    <t>Số mục có minh chứng</t>
  </si>
  <si>
    <t>Nhóm nâng cao</t>
  </si>
  <si>
    <t>Chức năng/ý tưởng</t>
  </si>
  <si>
    <t>Trong đề bài / mức tham chiếu</t>
  </si>
  <si>
    <t>Vấn đề cần giải quyết</t>
  </si>
  <si>
    <t>Nhóm đã triển khai cụ thể như thế nào?</t>
  </si>
  <si>
    <t>Vượt yêu cầu bắt buộc ở điểm nào?</t>
  </si>
  <si>
    <t>Module/Component liên quan</t>
  </si>
  <si>
    <t>Minh chứng code / commit / ADR / ảnh</t>
  </si>
  <si>
    <t>Kịch bản demo</t>
  </si>
  <si>
    <t>Kết quả đo lường / kiểm thử</t>
  </si>
  <si>
    <t>Đủ minh chứng?</t>
  </si>
  <si>
    <t>Tự đánh giá (0–3)</t>
  </si>
  <si>
    <t>Giảng viên nhận xét / điểm cộng</t>
  </si>
  <si>
    <t>Search &amp; Optimization</t>
  </si>
  <si>
    <t>Domain-guided Search</t>
  </si>
  <si>
    <t>Đề bài §17; Random Search là yêu cầu cơ bản, Domain-guided Search là phần vượt yêu cầu</t>
  </si>
  <si>
    <t>Giảm search vô nghĩa bằng domain knowledge; tách generator khỏi backtester.</t>
  </si>
  <si>
    <t>Hoàn thành &amp; demo được</t>
  </si>
  <si>
    <t>Domain-guided Search lọc candidate bằng rule chuyên môn như fast &lt; slow, RSI buy &lt; sell và Bollinger deviation dương trước khi đưa vào backtest.</t>
  </si>
  <si>
    <t>Giảm các tổ hợp vô nghĩa thay vì chỉ random toàn bộ search space.</t>
  </si>
  <si>
    <t>Discovery generators; Search service</t>
  </si>
  <si>
    <t>https://github.com/EnsoTech-Studio/CryptoBot/blob/d39f3510fcec0e2716caef4c5670ec955d0a2cc2/app/services/discovery/generators.py#L157-L197</t>
  </si>
  <si>
    <t xml:space="preserve">Chọn Domain-guided Search, chạy Discovery và xem candidate có rule_ids.
</t>
  </si>
  <si>
    <t>Candidate sinh ra có metadata rule_ids; chạy deterministic theo seed.</t>
  </si>
  <si>
    <t>Có</t>
  </si>
  <si>
    <t>Genetic Algorithm</t>
  </si>
  <si>
    <t>Đề bài §18 và §38 – phần mở rộng</t>
  </si>
  <si>
    <t>Tìm tổ hợp/parameter hiệu quả hơn khi không gian search lớn.</t>
  </si>
  <si>
    <t>GeneticGenerator tạo candidate bằng crossover, mutation và loại candidate trùng bằng hash.</t>
  </si>
  <si>
    <t>Có cơ chế tạo biến thể từ candidate thay vì chỉ lấy mẫu random/grid.</t>
  </si>
  <si>
    <t>https://github.com/EnsoTech-Studio/CryptoBot/blob/d39f3510fcec0e2716caef4c5670ec955d0a2cc2/app/services/discovery/generators.py#L201-L239</t>
  </si>
  <si>
    <t xml:space="preserve">Chọn Genetic Search và chạy Discovery để quan sát candidate generation_meta.
</t>
  </si>
  <si>
    <t>Candidate hợp lệ, có metadata crossover_mutation và tái lập theo seed.</t>
  </si>
  <si>
    <t>Evolutionary Search</t>
  </si>
  <si>
    <t>Tiến hóa candidate qua nhiều vòng thay vì random độc lập.</t>
  </si>
  <si>
    <t>Đã có crossover và mutation trong GeneticGenerator, nhưng chưa có vòng chọn quần thể qua nhiều thế hệ dựa trên evaluation.</t>
  </si>
  <si>
    <t>Mới hoàn thành phần tạo biến thể; chưa khai là evolutionary loop hoàn chỉnh.</t>
  </si>
  <si>
    <t>Discovery generators</t>
  </si>
  <si>
    <t>https://github.com/EnsoTech-Studio/CryptoBot/blob/d39f3510fcec0e2716caef4c5670ec955d0a2cc2/app/services/discovery/generators.py#L78-L112</t>
  </si>
  <si>
    <t>Demo sinh candidate genetic.</t>
  </si>
  <si>
    <t>Chưa có benchmark nhiều thế hệ.</t>
  </si>
  <si>
    <t>Bayesian Optimization</t>
  </si>
  <si>
    <t>Tối ưu parameter với số lần backtest hạn chế.</t>
  </si>
  <si>
    <t>Chưa làm</t>
  </si>
  <si>
    <t>—</t>
  </si>
  <si>
    <t>Không demo.</t>
  </si>
  <si>
    <t>Reinforcement Learning cho search</t>
  </si>
  <si>
    <t>Đề bài §18 – phần mở rộng</t>
  </si>
  <si>
    <t>Học chính sách tạo/chọn strategy candidate từ feedback evaluation.</t>
  </si>
  <si>
    <t>LLM-generated Strategy</t>
  </si>
  <si>
    <t>Đề bài §18 / §38 – phần mở rộng</t>
  </si>
  <si>
    <t>Dùng LLM đề xuất strategy/parameter/rule nhưng vẫn phải qua pipeline backtest-evaluate-rank.</t>
  </si>
  <si>
    <t>Người dùng nhập mô tả; LLM sinh StrategySpec có cấu trúc, qua validation, sandbox và luồng review trước khi publish.</t>
  </si>
  <si>
    <t>LLM chỉ đề xuất strategy có kiểm soát, không được tự chạy code hoặc tự publish.</t>
  </si>
  <si>
    <t>AI service; Strategy authoring; Agent worker</t>
  </si>
  <si>
    <t>https://github.com/EnsoTech-Studio/CryptoBot/blob/d39f3510fcec0e2716caef4c5670ec955d0a2cc2/app/services/authoring.py#L249-L309</t>
  </si>
  <si>
    <t>Nhập prompt strategy, phân tích bằng LLM, xem JSON/spec và tạo draft để review.</t>
  </si>
  <si>
    <t>Có contract test cho authoring, policy và sandbox; AI lỗi không biến thành dữ liệu giả.</t>
  </si>
  <si>
    <t>Agent-based Search</t>
  </si>
  <si>
    <t>Tổ chức agent tạo–kiểm tra–cải thiện candidate theo loop có kiểm soát.</t>
  </si>
  <si>
    <t>Đang làm</t>
  </si>
  <si>
    <t>https://github.com/EnsoTech-Studio/CryptoBot/blob/d39f3510fcec0e2716caef4c5670ec955d0a2cc2/app/services/agent_orchestrator.py#L12-L90</t>
  </si>
  <si>
    <t>AlphaEvolve-style Optimization</t>
  </si>
  <si>
    <t>Tạo–đánh giá–giữ candidate tốt–biến đổi candidate theo vòng lặp.</t>
  </si>
  <si>
    <t>Loop Engineering</t>
  </si>
  <si>
    <t>Thiết kế vòng Generate → Execute → Measure → Rank → Improve có stop condition và trace.</t>
  </si>
  <si>
    <t>Discovery chạy theo chuỗi generate → backtest → evaluate → rank; có stop condition, state, quota và lưu trace của search run.</t>
  </si>
  <si>
    <t>Có vòng lặp có kiểm soát và truy vết được, không phải chạy search tự phát.</t>
  </si>
  <si>
    <t>Search service; Dispatcher; Event worker</t>
  </si>
  <si>
    <t>Bắt đầu Discovery, theo dõi tiến trình, candidates và leaderboard.</t>
  </si>
  <si>
    <t>Search run lưu state và candidate hash; kết quả có thể truy xuất lại.</t>
  </si>
  <si>
    <t>Trading</t>
  </si>
  <si>
    <t>Long / Short</t>
  </si>
  <si>
    <t>Đề bài §38 – phần mở rộng</t>
  </si>
  <si>
    <t>Mở rộng mô hình giao dịch vượt Buy/Sell cơ bản, hỗ trợ vị thế hai chiều.</t>
  </si>
  <si>
    <t>Backtest engine mô phỏng cả vị thế LONG và SHORT trên dữ liệu BBO, có entry/exit và PnL riêng theo hướng lệnh.</t>
  </si>
  <si>
    <t>Không giới hạn ở Buy/Sell một chiều; có mô hình vị thế hai chiều.</t>
  </si>
  <si>
    <t>Backtest engine; Trade ledger</t>
  </si>
  <si>
    <t>https://github.com/EnsoTech-Studio/CryptoBot/blob/d39f3510fcec0e2716caef4c5670ec955d0a2cc2/app/domain/common/types.py#L43-L44</t>
  </si>
  <si>
    <t>Chạy backtest và xem cột hướng LONG/SHORT trong danh sách trade.</t>
  </si>
  <si>
    <t>Trade fact lưu side, entry/exit, quantity và PnL.</t>
  </si>
  <si>
    <t>Stop Loss</t>
  </si>
  <si>
    <t>Quản lý rủi ro ở mức trade; backtester cần mô phỏng rule thoát lệnh.</t>
  </si>
  <si>
    <t>RiskPolicy hỗ trợ stop-loss; mức SL được cố định tại thời điểm vào lệnh và được kiểm tra trên từng quote.</t>
  </si>
  <si>
    <t>Mô phỏng risk trigger trong engine thay vì chỉ hiển thị thông số trên UI.</t>
  </si>
  <si>
    <t>Backtest contract; Backtest engine</t>
  </si>
  <si>
    <t>https://github.com/EnsoTech-Studio/CryptoBot/blob/d39f3510fcec0e2716caef4c5670ec955d0a2cc2/app/domain/backtest/contract.py#L31-L35</t>
  </si>
  <si>
    <t>Cấu hình Stop Loss, chạy backtest và xem exit_reason là stop_loss.</t>
  </si>
  <si>
    <t>SL ưu tiên hơn pending exit; có dữ liệu sl_price và exit reason.</t>
  </si>
  <si>
    <t>Take Profit</t>
  </si>
  <si>
    <t>Mô phỏng rule chốt lời và ảnh hưởng đến kết quả backtest.</t>
  </si>
  <si>
    <t>RiskPolicy hỗ trợ take-profit; TP được cố định tại entry và kích hoạt theo quote BBO.</t>
  </si>
  <si>
    <t>Kết quả backtest phản ánh rule chốt lời và chi phí giao dịch.</t>
  </si>
  <si>
    <t>Cấu hình Take Profit, chạy backtest và xem exit_reason là take_profit.</t>
  </si>
  <si>
    <t>Lưu tp_price, entry/exit notional và PnL của trade.</t>
  </si>
  <si>
    <t>Trailing Stop</t>
  </si>
  <si>
    <t>Rule thoát lệnh động theo biến động giá, phức tạp hơn stop cố định.</t>
  </si>
  <si>
    <t>Chưa triển khai trong phạm vi đồ án hiện tại.</t>
  </si>
  <si>
    <t>Không khai điểm cộng cho mục này.</t>
  </si>
  <si>
    <t>https://github.com/EnsoTech-Studio/CryptoBot/blob/d39f3510fcec0e2716caef4c5670ec955d0a2cc2/blueprint/specs/backtest.md#L1-L40</t>
  </si>
  <si>
    <t>Position Sizing</t>
  </si>
  <si>
    <t>Quyết định kích thước vị thế thay vì giả định mỗi trade có cùng quy mô.</t>
  </si>
  <si>
    <t>Engine dùng fixed-notional sizing; quantity được tính từ fixed_notional / giá vào lệnh.</t>
  </si>
  <si>
    <t>Không giả định quantity cố định cho mọi giá; size được tính theo notional của experiment.</t>
  </si>
  <si>
    <t>Experiment snapshot; Backtest engine</t>
  </si>
  <si>
    <t>https://github.com/EnsoTech-Studio/CryptoBot/blob/d39f3510fcec0e2716caef4c5670ec955d0a2cc2/app/services/backtest_engine.py#L286-L296</t>
  </si>
  <si>
    <t>Cần bổ sung UI hiển thị rõ policy position sizing.</t>
  </si>
  <si>
    <t>Trade fact đã lưu quantity và entry_notional.</t>
  </si>
  <si>
    <t>Market</t>
  </si>
  <si>
    <t>Multiple Coins</t>
  </si>
  <si>
    <t>Mở rộng từ một pair sang nhiều coin/pair mà không hard-code luồng xử lý.</t>
  </si>
  <si>
    <t>Market key, dataset và API đều mang symbol/provider; hệ thống hỗ trợ các pair như BTCUSDT và ETHUSDT, không hard-code một coin.</t>
  </si>
  <si>
    <t>Dữ liệu, chart và backtest dùng cùng market contract cho nhiều pair.</t>
  </si>
  <si>
    <t>Market domain; Go market gateway; Research datasets</t>
  </si>
  <si>
    <t>https://github.com/EnsoTech-Studio/CryptoBot/blob/d39f3510fcec0e2716caef4c5670ec955d0a2cc2/server/internal/domain/market/types.go#L1-L80</t>
  </si>
  <si>
    <t>Đổi coin trên Realtime hoặc Backtest và chạy lại theo dataset tương ứng.</t>
  </si>
  <si>
    <t>Symbol là một phần của market dataset, experiment và stream key.</t>
  </si>
  <si>
    <t>Multiple Exchanges</t>
  </si>
  <si>
    <t>Đề bài §38; liên quan Adapter ở §4</t>
  </si>
  <si>
    <t>Thêm OKX/Bybit/Coinbase... qua abstraction/provider mà frontend và core ít thay đổi.</t>
  </si>
  <si>
    <t>Go market gateway dùng ProviderRegistry; đã có Binance USD-M và OKX Swap adapter cùng canonical market contract.</t>
  </si>
  <si>
    <t>Thêm exchange qua typed adapter, không phải sửa frontend hoặc backtest core.</t>
  </si>
  <si>
    <t>Go market providers; ProviderRegistry</t>
  </si>
  <si>
    <t>https://github.com/EnsoTech-Studio/CryptoBot/blob/d39f3510fcec0e2716caef4c5670ec955d0a2cc2/server/cmd/api/main.go#L71-L93</t>
  </si>
  <si>
    <t>Chọn provider Binance/OKX, kiểm tra market status và dữ liệu chuẩn hóa.</t>
  </si>
  <si>
    <t>Go tests kiểm tra registry, Binance và OKX provider đều pass.</t>
  </si>
  <si>
    <t>Machine Learning</t>
  </si>
  <si>
    <t>Sentiment mở rộng</t>
  </si>
  <si>
    <t>Đề bài đã yêu cầu collect/store/analyze sentiment; chỉ xem là mở rộng khi nhóm triển khai thêm, ví dụ tích hợp sentiment thành Strategy hoặc có đánh giá/thay thế mô hình rõ ràng.</t>
  </si>
  <si>
    <t>Chỉ nên khai điểm cộng nếu vượt pipeline sentiment cơ bản, ví dụ tích hợp thành Strategy hoặc có đánh giá/thay model rõ ràng.</t>
  </si>
  <si>
    <t>News được crawl, lưu sentiment; có NewsSentimentStrategy dùng cửa sổ sentiment để sinh BUY/SELL/HOLD và có phân tích tổng hợp bằng LLM.</t>
  </si>
  <si>
    <t>Sentiment không chỉ hiển thị mà đã được tích hợp thành strategy có model/version và tham số.</t>
  </si>
  <si>
    <t>News worker; Sentiment store; NewsSentimentStrategy; AI service</t>
  </si>
  <si>
    <t>Collect news, backfill sentiment, xem aggregate và dùng News Sentiment trong strategy.</t>
  </si>
  <si>
    <t>Sentiment có trạng thái unavailable thật; không thay bằng neutral giả.</t>
  </si>
  <si>
    <t>Price Prediction</t>
  </si>
  <si>
    <t>Thêm mô hình dự báo giá/tín hiệu như một service/strategy mà không phá kiến trúc hiện có.</t>
  </si>
  <si>
    <t>https://github.com/EnsoTech-Studio/CryptoBot/blob/d39f3510fcec0e2716caef4c5670ec955d0a2cc2/docs/note-duc.txt#L96-L102</t>
  </si>
  <si>
    <t>Market Regime Detection</t>
  </si>
  <si>
    <t>Nhận diện trend/range/volatility regime để hỗ trợ chọn/kết hợp strategy.</t>
  </si>
  <si>
    <t>Architecture / Infrastructure</t>
  </si>
  <si>
    <t>Redis</t>
  </si>
  <si>
    <t>Chỉ có ý nghĩa nếu dùng cho cache/state/queue/pub-sub cụ thể và chứng minh lợi ích.</t>
  </si>
  <si>
    <t>Hoàn thành nhưng chưa demo</t>
  </si>
  <si>
    <t>Không dùng Redis trong runtime hiện tại; cache/ring buffer realtime nằm ở Go edge khi cần.</t>
  </si>
  <si>
    <t>Không khai điểm cộng chỉ vì đưa Redis vào thiết kế.</t>
  </si>
  <si>
    <t>https://github.com/EnsoTech-Studio/CryptoBot/blob/d39f3510fcec0e2716caef4c5670ec955d0a2cc2/blueprint/design.md#L3944-L3946</t>
  </si>
  <si>
    <t>Kafka / RabbitMQ</t>
  </si>
  <si>
    <t>Tách producer/consumer, xử lý event/job bất đồng bộ; cần demo failure/retry/throughput nếu khai.</t>
  </si>
  <si>
    <t>Không dùng Kafka/RabbitMQ; chọn PostgreSQL queue và transactional outbox để giảm số hạ tầng cho phạm vi đồ án.</t>
  </si>
  <si>
    <t>Không khai điểm cộng cho broker chưa triển khai.</t>
  </si>
  <si>
    <t>PostgreSQL queue; Outbox</t>
  </si>
  <si>
    <t>https://github.com/EnsoTech-Studio/CryptoBot/blob/d39f3510fcec0e2716caef4c5670ec955d0a2cc2/app/infrastructure/postgres/outbox.py#L27-L100</t>
  </si>
  <si>
    <t>Không demo Kafka/RabbitMQ.</t>
  </si>
  <si>
    <t>Trade-off được ghi rõ trong tài liệu kiến trúc.</t>
  </si>
  <si>
    <t>Worker Pool</t>
  </si>
  <si>
    <t>Đề bài §38; liên quan scalability §43</t>
  </si>
  <si>
    <t>Chạy backtest song song, scale số candidate; nên có số liệu thời gian/throughput.</t>
  </si>
  <si>
    <t>Backtest chạy qua PostgreSQL queue với worker độc lập; có thể tăng số replica worker mà không đổi API hoặc job contract.</t>
  </si>
  <si>
    <t>Có worker pool, lease/heartbeat và benchmark thay vì xử lý đồng bộ trên request.</t>
  </si>
  <si>
    <t>Worker; Dispatcher; PostgreSQL queue</t>
  </si>
  <si>
    <t>Chạy worker, tạo nhiều experiment và theo dõi trạng thái queued/running/completed.</t>
  </si>
  <si>
    <t>Benchmark 100.000 jobs với 4 worker: 100% hoàn thành, 0 lỗi, khoảng 65,8 jobs/giây.</t>
  </si>
  <si>
    <t>Microservices</t>
  </si>
  <si>
    <t>Chỉ nên khai nếu việc tách service giải quyết coupling/deployment/scaling thực tế, không phải chỉ chia project.</t>
  </si>
  <si>
    <t>Kiến trúc chọn Modular Monolith với các boundary rõ ràng; không tách microservices chỉ để lấy điểm cộng.</t>
  </si>
  <si>
    <t>Quyết định này giảm vận hành phức tạp và phù hợp quy mô đồ án.</t>
  </si>
  <si>
    <t>Go edge; Python research; workers</t>
  </si>
  <si>
    <t>https://github.com/EnsoTech-Studio/CryptoBot/blob/d39f3510fcec0e2716caef4c5670ec955d0a2cc2/blueprint/design.md#L38-L61</t>
  </si>
  <si>
    <t>Trình bày C4/container và trade-off kiến trúc.</t>
  </si>
  <si>
    <t>Không tự khai microservices.</t>
  </si>
  <si>
    <t>CQRS</t>
  </si>
  <si>
    <t>Tách mô hình ghi/đọc khi có lý do kiến trúc cụ thể; cần chỉ ra flow và trade-off.</t>
  </si>
  <si>
    <t>API tách thao tác command như tạo/hủy experiment với query như đọc candles, experiment, leaderboard và provenance.</t>
  </si>
  <si>
    <t>Tách luồng đọc/ghi để tối ưu mục đích xử lý, nhưng vẫn dùng chung PostgreSQL.</t>
  </si>
  <si>
    <t>Go HTTP API; Research API; Store</t>
  </si>
  <si>
    <t>https://github.com/EnsoTech-Studio/CryptoBot/blob/d39f3510fcec0e2716caef4c5670ec955d0a2cc2/blueprint/design.md#L498-L505</t>
  </si>
  <si>
    <t>Tạo experiment, sau đó truy vấn trạng thái, trades, equity và leaderboard.</t>
  </si>
  <si>
    <t>Có contract endpoint riêng cho command/query; chưa dùng database read-model tách biệt.</t>
  </si>
  <si>
    <t>Event Sourcing</t>
  </si>
  <si>
    <t>Lưu chuỗi event để trace/replay trạng thái; cần giải thích vì sao cần và demo khả năng truy vết/replay.</t>
  </si>
  <si>
    <t>Không triển khai Event Sourcing đầy đủ; hệ thống chỉ lưu immutable facts và outbox event cho retry/audit.</t>
  </si>
  <si>
    <t>Không khai điểm cộng Event Sourcing khi chưa có replay state từ event log.</t>
  </si>
  <si>
    <t>Outbox; persisted facts</t>
  </si>
  <si>
    <t>https://github.com/EnsoTech-Studio/CryptoBot/blob/d39f3510fcec0e2716caef4c5670ec955d0a2cc2/blueprint/design.md#L1799-L1864</t>
  </si>
  <si>
    <t>Không demo Event Sourcing.</t>
  </si>
  <si>
    <t>Plugin Architecture nâng cao</t>
  </si>
  <si>
    <t>Plugin/extensibility là trọng tâm xuyên suốt đề bài; §38 cũng liệt kê Plugin Architecture</t>
  </si>
  <si>
    <t>Không tự động là điểm cộng nếu chỉ đáp ứng core. Chỉ khai khi có phần vượt yêu cầu, ví dụ đăng ký/loading plugin thực sự và chứng minh thay đổi tối thiểu.</t>
  </si>
  <si>
    <t>Registry quản lý strategy plugin; strategy declarative do LLM sinh còn đi qua validate, sandbox, review và publish workflow.</t>
  </si>
  <si>
    <t>Không chỉ đăng ký strategy tĩnh; có luồng authoring an toàn cho strategy sinh mới.</t>
  </si>
  <si>
    <t>Strategy Registry; Authoring service; Sandbox; Agent worker</t>
  </si>
  <si>
    <t>Tạo strategy từ prompt, review draft, validate/sandbox và publish khi được duyệt.</t>
  </si>
  <si>
    <t>Plugin được resolve thành instance mới mỗi run; generated code không tự publish.</t>
  </si>
  <si>
    <t>Sáng tạo khác</t>
  </si>
  <si>
    <t>Adaptive News Extraction &amp; Self-healing</t>
  </si>
  <si>
    <t>Vượt pipeline RSS cơ bản</t>
  </si>
  <si>
    <t>Khi cấu trúc HTML nguồn tin thay đổi, hệ thống vẫn cần trích xuất an toàn và không để lỗi AI chặn crawl.</t>
  </si>
  <si>
    <t>Adaptive News Extraction &amp; Self-healing: crawl từ RSS/HTML có quality gate; khi HTML không đạt chất lượng thì gọi LLM extraction fallback an toàn.</t>
  </si>
  <si>
    <t>Không phụ thuộc một parser cố định và không cho URL tùy ý vượt qua SSRF guard.</t>
  </si>
  <si>
    <t>News providers; HTML quality gate; AI extraction adapter</t>
  </si>
  <si>
    <t>https://github.com/EnsoTech-Studio/CryptoBot/blob/d39f3510fcec0e2716caef4c5670ec955d0a2cc2/app/infrastructure/news/html.py#L25-L190</t>
  </si>
  <si>
    <t>Collect source được duyệt, quan sát extraction/sentiment và thử case quality gate fail.</t>
  </si>
  <si>
    <t>Có test provider, extraction và retry; lỗi AI không làm dừng pipeline crawl.</t>
  </si>
  <si>
    <t>Reproducible Backtest &amp; Provenance</t>
  </si>
  <si>
    <t>Vượt backtest chỉ trả kết quả</t>
  </si>
  <si>
    <t>Cần tái lập và truy ngược đầu vào, configuration và kết quả của từng experiment.</t>
  </si>
  <si>
    <t>Mỗi experiment lưu strategy snapshot, dataset/version, BBO, trades, equity, evaluation và result hash để tái lập kết quả.</t>
  </si>
  <si>
    <t>Không chỉ trả về một con số backtest; có provenance để truy ngược đầu vào và kết quả.</t>
  </si>
  <si>
    <t>Experiment store; Backtest engine; Evaluator; Provenance API</t>
  </si>
  <si>
    <t>Mở chi tiết experiment/leaderboard và truy vấn trade, equity, configuration đã dùng.</t>
  </si>
  <si>
    <t>Có deterministic replay và persisted facts cho kết quả backtest.</t>
  </si>
  <si>
    <t>Transactional Outbox &amp; Worker Recovery</t>
  </si>
  <si>
    <t>Vượt queue bất đồng bộ cơ bản</t>
  </si>
  <si>
    <t>Cần tránh mất job/dual-write và phục hồi khi worker hoặc event consumer bị dừng.</t>
  </si>
  <si>
    <t>Transactional outbox, lease token, heartbeat và idempotent consumer bảo vệ job khi worker/event-worker retry hoặc bị chết.</t>
  </si>
  <si>
    <t>Xử lý được dual-write risk và recovery thay vì queue in-memory đơn giản.</t>
  </si>
  <si>
    <t>Postgres dispatcher; Outbox; Worker; Event worker</t>
  </si>
  <si>
    <t>Chạy failure/recovery scenario: worker bị dừng sau khi claim, worker khác reclaim và hoàn thành job.</t>
  </si>
  <si>
    <t>Integration suite kiểm tra claim, reclaim, completion fencing, outbox và exactly-once evaluation.</t>
  </si>
  <si>
    <t>Realtime Reconnect &amp; REST Backfill</t>
  </si>
  <si>
    <t>Vượt stream WebSocket một chiều</t>
  </si>
  <si>
    <t>Cần hạn chế gap dữ liệu khi kết nối market realtime bị gián đoạn.</t>
  </si>
  <si>
    <t>Market gateway nhận WebSocket realtime, lưu checkpoint/BBO, reconnect và REST backfill để hạn chế gap dữ liệu sau mất kết nối.</t>
  </si>
  <si>
    <t>Không chỉ stream dữ liệu một chiều; có cơ chế phục hồi và chuẩn hóa dữ liệu trước khi phát cho UI.</t>
  </si>
  <si>
    <t>Go market providers; WebSocket hub; Market persistence</t>
  </si>
  <si>
    <t>https://github.com/EnsoTech-Studio/CryptoBot/blob/d39f3510fcec0e2716caef4c5670ec955d0a2cc2/blueprint/design.md#L2542-L2593</t>
  </si>
  <si>
    <t>Mở chart realtime, kiểm tra market status và reconnect/backfill khi stream bị gián đoạn.</t>
  </si>
  <si>
    <t>Có adapter/application tests cho candle/BBO normalization và trạng thái stream.</t>
  </si>
  <si>
    <t>THANG TỰ ĐÁNH GIÁ 0–3: 0 = mới nêu ý tưởng/chưa chạy; 1 = prototype chạy một phần; 2 = hoàn thành và demo được nhưng minh chứng/đo lường còn hạn chế; 3 = hoàn thành tốt, modular, có demo + code + test/measurement + giải thích trade-off.</t>
  </si>
  <si>
    <t>LƯU Ý CHO GIẢNG VIÊN: Cột N chỉ là tự đánh giá của sinh viên. Cột O dành cho giảng viên quyết định nhận xét/điểm cộng. Không có công thức tự động cộng vào điểm đồ án.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</si>
</sst>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29">
    <font>
      <sz val="11.0"/>
      <color rgb="FF000000"/>
      <name val="Carlito"/>
      <scheme val="minor"/>
    </font>
    <font>
      <b/>
      <sz val="15.0"/>
      <color theme="0"/>
      <name val="Carlito"/>
    </font>
    <font>
      <b/>
      <sz val="16.0"/>
      <color theme="0"/>
      <name val="Carlito"/>
    </font>
    <font/>
    <font>
      <sz val="11.0"/>
      <color rgb="FF000000"/>
      <name val="Carlito"/>
    </font>
    <font>
      <i/>
      <sz val="11.0"/>
      <color theme="1"/>
      <name val="Carlito"/>
    </font>
    <font>
      <b/>
      <sz val="11.0"/>
      <color theme="1"/>
      <name val="Carlito"/>
    </font>
    <font>
      <b/>
      <sz val="11.0"/>
      <color theme="0"/>
      <name val="Carlito"/>
    </font>
    <font>
      <sz val="11.0"/>
      <color theme="1"/>
      <name val="Carlito"/>
    </font>
    <font>
      <b/>
      <sz val="11.0"/>
      <color rgb="FF1F2937"/>
      <name val="Carlito"/>
    </font>
    <font>
      <sz val="11.0"/>
      <color rgb="FF111827"/>
      <name val="Carlito"/>
    </font>
    <font>
      <u/>
      <sz val="11.0"/>
      <color theme="1"/>
      <name val="Carlito"/>
    </font>
    <font>
      <i/>
      <sz val="11.0"/>
      <color rgb="FF334155"/>
      <name val="Carlito"/>
    </font>
    <font>
      <b/>
      <sz val="11.0"/>
      <color rgb="FF9A3412"/>
      <name val="Carlito"/>
    </font>
    <font>
      <b/>
      <sz val="14.0"/>
      <color rgb="FF0F172A"/>
      <name val="Carlito"/>
    </font>
    <font>
      <sz val="10.0"/>
      <color theme="1"/>
      <name val="Carlito"/>
    </font>
    <font>
      <b/>
      <sz val="10.0"/>
      <color theme="1"/>
      <name val="Carlito"/>
    </font>
    <font>
      <color theme="1"/>
      <name val="Carlito"/>
    </font>
    <font>
      <u/>
      <sz val="10.0"/>
      <color rgb="FF0563C1"/>
      <name val="Carlito"/>
    </font>
    <font>
      <b/>
      <sz val="16.0"/>
      <color rgb="FFFFFFFF"/>
      <name val="Carlito"/>
    </font>
    <font>
      <b/>
      <sz val="11.0"/>
      <color rgb="FF7F6000"/>
      <name val="Carlito"/>
    </font>
    <font>
      <sz val="11.0"/>
      <color rgb="FF375623"/>
      <name val="Carlito"/>
    </font>
    <font>
      <b/>
      <sz val="11.0"/>
      <color rgb="FFFFFFFF"/>
      <name val="Carlito"/>
    </font>
    <font>
      <u/>
      <sz val="11.0"/>
      <color rgb="FF0563C1"/>
      <name val="Carlito"/>
    </font>
    <font>
      <u/>
      <sz val="11.0"/>
      <color rgb="FF0563C1"/>
      <name val="Carlito"/>
    </font>
    <font>
      <sz val="11.0"/>
      <color rgb="FF0563C1"/>
      <name val="Carlito"/>
    </font>
    <font>
      <u/>
      <sz val="11.0"/>
      <color rgb="FF0563C1"/>
      <name val="Carlito"/>
    </font>
    <font>
      <b/>
      <sz val="11.0"/>
      <color rgb="FF274E13"/>
      <name val="Carlito"/>
    </font>
    <font>
      <b/>
      <sz val="11.0"/>
      <color rgb="FF990000"/>
      <name val="Carlito"/>
    </font>
  </fonts>
  <fills count="28">
    <fill>
      <patternFill patternType="none"/>
    </fill>
    <fill>
      <patternFill patternType="lightGray"/>
    </fill>
    <fill>
      <patternFill patternType="solid">
        <fgColor theme="4"/>
        <bgColor theme="4"/>
      </patternFill>
    </fill>
    <fill>
      <patternFill patternType="solid">
        <fgColor rgb="FFE8F1FB"/>
        <bgColor rgb="FFE8F1FB"/>
      </patternFill>
    </fill>
    <fill>
      <patternFill patternType="solid">
        <fgColor rgb="FFDCE6F1"/>
        <bgColor rgb="FFDCE6F1"/>
      </patternFill>
    </fill>
    <fill>
      <patternFill patternType="solid">
        <fgColor rgb="FFFAFAFA"/>
        <bgColor rgb="FFFAFAFA"/>
      </patternFill>
    </fill>
    <fill>
      <patternFill patternType="solid">
        <fgColor rgb="FFFFF9E6"/>
        <bgColor rgb="FFFFF9E6"/>
      </patternFill>
    </fill>
    <fill>
      <patternFill patternType="solid">
        <fgColor rgb="FFFFF2CC"/>
        <bgColor rgb="FFFFF2CC"/>
      </patternFill>
    </fill>
    <fill>
      <patternFill patternType="solid">
        <fgColor theme="9"/>
        <bgColor theme="9"/>
      </patternFill>
    </fill>
    <fill>
      <patternFill patternType="solid">
        <fgColor rgb="FFD9EAD3"/>
        <bgColor rgb="FFD9EAD3"/>
      </patternFill>
    </fill>
    <fill>
      <patternFill patternType="solid">
        <fgColor rgb="FFE2F0D9"/>
        <bgColor rgb="FFE2F0D9"/>
      </patternFill>
    </fill>
    <fill>
      <patternFill patternType="solid">
        <fgColor rgb="FFFDE9D9"/>
        <bgColor rgb="FFFDE9D9"/>
      </patternFill>
    </fill>
    <fill>
      <patternFill patternType="solid">
        <fgColor rgb="FFEAF2F8"/>
        <bgColor rgb="FFEAF2F8"/>
      </patternFill>
    </fill>
    <fill>
      <patternFill patternType="solid">
        <fgColor rgb="FFD9EAF7"/>
        <bgColor rgb="FFD9EAF7"/>
      </patternFill>
    </fill>
    <fill>
      <patternFill patternType="solid">
        <fgColor rgb="FFE8F5E9"/>
        <bgColor rgb="FFE8F5E9"/>
      </patternFill>
    </fill>
    <fill>
      <patternFill patternType="solid">
        <fgColor rgb="FFF3E8FF"/>
        <bgColor rgb="FFF3E8FF"/>
      </patternFill>
    </fill>
    <fill>
      <patternFill patternType="solid">
        <fgColor rgb="FFFFF3E0"/>
        <bgColor rgb="FFFFF3E0"/>
      </patternFill>
    </fill>
    <fill>
      <patternFill patternType="solid">
        <fgColor rgb="FFFDECEC"/>
        <bgColor rgb="FFFDECEC"/>
      </patternFill>
    </fill>
    <fill>
      <patternFill patternType="solid">
        <fgColor rgb="FF17365D"/>
        <bgColor rgb="FF17365D"/>
      </patternFill>
    </fill>
    <fill>
      <patternFill patternType="solid">
        <fgColor rgb="FF5B9BD5"/>
        <bgColor rgb="FF5B9BD5"/>
      </patternFill>
    </fill>
    <fill>
      <patternFill patternType="solid">
        <fgColor rgb="FF4472C4"/>
        <bgColor rgb="FF4472C4"/>
      </patternFill>
    </fill>
    <fill>
      <patternFill patternType="solid">
        <fgColor rgb="FFDDEBF7"/>
        <bgColor rgb="FFDDEBF7"/>
      </patternFill>
    </fill>
    <fill>
      <patternFill patternType="solid">
        <fgColor rgb="FFFFFDF2"/>
        <bgColor rgb="FFFFFDF2"/>
      </patternFill>
    </fill>
    <fill>
      <patternFill patternType="solid">
        <fgColor rgb="FFC6E0B4"/>
        <bgColor rgb="FFC6E0B4"/>
      </patternFill>
    </fill>
    <fill>
      <patternFill patternType="solid">
        <fgColor rgb="FFFCE4D6"/>
        <bgColor rgb="FFFCE4D6"/>
      </patternFill>
    </fill>
    <fill>
      <patternFill patternType="solid">
        <fgColor rgb="FFE4DFEC"/>
        <bgColor rgb="FFE4DFEC"/>
      </patternFill>
    </fill>
    <fill>
      <patternFill patternType="solid">
        <fgColor rgb="FFF2F2F2"/>
        <bgColor rgb="FFF2F2F2"/>
      </patternFill>
    </fill>
    <fill>
      <patternFill patternType="solid">
        <fgColor rgb="FFF4CCCC"/>
        <bgColor rgb="FFF4CCCC"/>
      </patternFill>
    </fill>
  </fills>
  <borders count="31">
    <border/>
    <border>
      <left/>
      <top/>
      <bottom/>
    </border>
    <border>
      <top/>
      <bottom/>
    </border>
    <border>
      <right/>
      <top/>
      <bottom/>
    </border>
    <border>
      <left/>
      <right/>
      <top/>
      <bottom/>
    </border>
    <border>
      <left style="thin">
        <color rgb="FFB7C4CE"/>
      </left>
      <right style="thin">
        <color rgb="FFB7C4CE"/>
      </right>
      <top style="thin">
        <color rgb="FFB7C4CE"/>
      </top>
      <bottom style="thin">
        <color rgb="FFB7C4CE"/>
      </bottom>
    </border>
    <border>
      <left style="thin">
        <color rgb="FFB7C4CE"/>
      </left>
      <top style="thin">
        <color rgb="FFB7C4CE"/>
      </top>
      <bottom style="thin">
        <color rgb="FFB7C4CE"/>
      </bottom>
    </border>
    <border>
      <top style="thin">
        <color rgb="FFB7C4CE"/>
      </top>
      <bottom style="thin">
        <color rgb="FFB7C4CE"/>
      </bottom>
    </border>
    <border>
      <right style="thin">
        <color rgb="FFB7C4CE"/>
      </right>
      <top style="thin">
        <color rgb="FFB7C4CE"/>
      </top>
      <bottom style="thin">
        <color rgb="FFB7C4CE"/>
      </bottom>
    </border>
    <border>
      <left style="thin">
        <color rgb="FF7F8C8D"/>
      </left>
      <top style="thin">
        <color rgb="FF7F8C8D"/>
      </top>
      <bottom style="thin">
        <color rgb="FF7F8C8D"/>
      </bottom>
    </border>
    <border>
      <right style="thin">
        <color rgb="FF7F8C8D"/>
      </right>
      <top style="thin">
        <color rgb="FF7F8C8D"/>
      </top>
      <bottom style="thin">
        <color rgb="FF7F8C8D"/>
      </bottom>
    </border>
    <border>
      <left style="thin">
        <color rgb="FF7F8C8D"/>
      </left>
      <right style="thin">
        <color rgb="FF7F8C8D"/>
      </right>
      <top style="thin">
        <color rgb="FF7F8C8D"/>
      </top>
      <bottom style="thin">
        <color rgb="FF7F8C8D"/>
      </bottom>
    </border>
    <border>
      <left/>
      <top/>
    </border>
    <border>
      <right/>
      <top/>
    </border>
    <border>
      <left/>
      <bottom/>
    </border>
    <border>
      <right/>
      <bottom/>
    </border>
    <border>
      <top style="thin">
        <color rgb="FF7F8C8D"/>
      </top>
      <bottom style="thin">
        <color rgb="FF7F8C8D"/>
      </bottom>
    </border>
    <border>
      <left style="thin">
        <color rgb="FFA6A6A6"/>
      </left>
      <right/>
      <top style="thin">
        <color rgb="FFA6A6A6"/>
      </top>
      <bottom/>
    </border>
    <border>
      <left/>
      <right style="thin">
        <color rgb="FFA6A6A6"/>
      </right>
      <top style="thin">
        <color rgb="FFA6A6A6"/>
      </top>
      <bottom/>
    </border>
    <border>
      <left style="thin">
        <color rgb="FFA6A6A6"/>
      </left>
    </border>
    <border>
      <right style="thin">
        <color rgb="FFA6A6A6"/>
      </right>
    </border>
    <border>
      <left style="thin">
        <color rgb="FFA6A6A6"/>
      </left>
      <bottom style="thin">
        <color rgb="FFA6A6A6"/>
      </bottom>
    </border>
    <border>
      <right style="thin">
        <color rgb="FFA6A6A6"/>
      </right>
      <bottom style="thin">
        <color rgb="FFA6A6A6"/>
      </bottom>
    </border>
    <border>
      <left style="thin">
        <color rgb="FFD9E1F2"/>
      </left>
      <top style="thin">
        <color rgb="FFD9E1F2"/>
      </top>
    </border>
    <border>
      <left/>
      <right/>
      <top style="thin">
        <color rgb="FFD9E1F2"/>
      </top>
      <bottom/>
    </border>
    <border>
      <left/>
      <right style="thin">
        <color rgb="FFD9E1F2"/>
      </right>
      <top style="thin">
        <color rgb="FFD9E1F2"/>
      </top>
      <bottom/>
    </border>
    <border>
      <left style="thin">
        <color rgb="FFD9E1F2"/>
      </left>
    </border>
    <border>
      <left/>
      <right style="thin">
        <color rgb="FFD9E1F2"/>
      </right>
      <top/>
      <bottom/>
    </border>
    <border>
      <left style="thin">
        <color rgb="FFD9E1F2"/>
      </left>
      <bottom style="thin">
        <color rgb="FFD9E1F2"/>
      </bottom>
    </border>
    <border>
      <left/>
      <right/>
      <top/>
      <bottom style="thin">
        <color rgb="FFD9E1F2"/>
      </bottom>
    </border>
    <border>
      <left/>
      <right style="thin">
        <color rgb="FFD9E1F2"/>
      </right>
      <top/>
      <bottom style="thin">
        <color rgb="FFD9E1F2"/>
      </bottom>
    </border>
  </borders>
  <cellStyleXfs count="1">
    <xf borderId="0" fillId="0" fontId="0" numFmtId="0" applyAlignment="1" applyFont="1"/>
  </cellStyleXfs>
  <cellXfs count="98">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2" numFmtId="0" xfId="0" applyAlignment="1" applyBorder="1" applyFill="1" applyFont="1">
      <alignment horizontal="center" vertical="center"/>
    </xf>
    <xf borderId="2" fillId="0" fontId="3" numFmtId="0" xfId="0" applyBorder="1" applyFont="1"/>
    <xf borderId="3" fillId="0" fontId="3" numFmtId="0" xfId="0" applyBorder="1" applyFont="1"/>
    <xf borderId="0" fillId="0" fontId="4" numFmtId="0" xfId="0" applyFont="1"/>
    <xf borderId="4" fillId="2" fontId="1" numFmtId="0" xfId="0" applyAlignment="1" applyBorder="1" applyFill="1" applyFont="1">
      <alignment horizontal="center" vertical="center"/>
    </xf>
    <xf borderId="1" fillId="3" fontId="5" numFmtId="0" xfId="0" applyAlignment="1" applyBorder="1" applyFill="1" applyFont="1">
      <alignment shrinkToFit="0" wrapText="1"/>
    </xf>
    <xf borderId="5" fillId="4" fontId="6" numFmtId="0" xfId="0" applyAlignment="1" applyBorder="1" applyFill="1" applyFont="1">
      <alignment shrinkToFit="0" vertical="top" wrapText="1"/>
    </xf>
    <xf borderId="5" fillId="2" fontId="7" numFmtId="0" xfId="0" applyAlignment="1" applyBorder="1" applyFill="1" applyFont="1">
      <alignment horizontal="center" shrinkToFit="0" vertical="center" wrapText="1"/>
    </xf>
    <xf borderId="5" fillId="5" fontId="8" numFmtId="0" xfId="0" applyAlignment="1" applyBorder="1" applyFill="1" applyFont="1">
      <alignment shrinkToFit="0" vertical="top" wrapText="1"/>
    </xf>
    <xf borderId="1" fillId="4" fontId="9" numFmtId="0" xfId="0" applyAlignment="1" applyBorder="1" applyFill="1" applyFont="1">
      <alignment shrinkToFit="0" vertical="center" wrapText="1"/>
    </xf>
    <xf borderId="5" fillId="0" fontId="8" numFmtId="0" xfId="0" applyAlignment="1" applyBorder="1" applyFont="1">
      <alignment shrinkToFit="0" vertical="top" wrapText="1"/>
    </xf>
    <xf borderId="5" fillId="6" fontId="8" numFmtId="0" xfId="0" applyAlignment="1" applyBorder="1" applyFill="1" applyFont="1">
      <alignment shrinkToFit="0" vertical="top" wrapText="1"/>
    </xf>
    <xf borderId="1" fillId="7" fontId="8" numFmtId="0" xfId="0" applyAlignment="1" applyBorder="1" applyFill="1" applyFont="1">
      <alignment shrinkToFit="0" wrapText="1"/>
    </xf>
    <xf borderId="5" fillId="6" fontId="8" numFmtId="9" xfId="0" applyAlignment="1" applyBorder="1" applyFill="1" applyFont="1" applyNumberFormat="1">
      <alignment shrinkToFit="0" vertical="top" wrapText="1"/>
    </xf>
    <xf borderId="5" fillId="7" fontId="8" numFmtId="0" xfId="0" applyAlignment="1" applyBorder="1" applyFill="1" applyFont="1">
      <alignment shrinkToFit="0" vertical="top" wrapText="1"/>
    </xf>
    <xf borderId="5" fillId="6" fontId="10" numFmtId="0" xfId="0" applyAlignment="1" applyBorder="1" applyFill="1" applyFont="1">
      <alignment readingOrder="0" shrinkToFit="0" vertical="top" wrapText="1"/>
    </xf>
    <xf borderId="1" fillId="7" fontId="11" numFmtId="0" xfId="0" applyAlignment="1" applyBorder="1" applyFill="1" applyFont="1">
      <alignment readingOrder="0" shrinkToFit="0" vertical="center" wrapText="1"/>
    </xf>
    <xf borderId="4" fillId="8" fontId="7" numFmtId="0" xfId="0" applyAlignment="1" applyBorder="1" applyFill="1" applyFont="1">
      <alignment horizontal="center" vertical="center"/>
    </xf>
    <xf borderId="6" fillId="9" fontId="6" numFmtId="0" xfId="0" applyBorder="1" applyFill="1" applyFont="1"/>
    <xf borderId="1" fillId="7" fontId="8" numFmtId="0" xfId="0" applyAlignment="1" applyBorder="1" applyFill="1" applyFont="1">
      <alignment shrinkToFit="0" vertical="center" wrapText="1"/>
    </xf>
    <xf borderId="7" fillId="0" fontId="3" numFmtId="0" xfId="0" applyBorder="1" applyFont="1"/>
    <xf borderId="8" fillId="0" fontId="3" numFmtId="0" xfId="0" applyBorder="1" applyFont="1"/>
    <xf borderId="5" fillId="0" fontId="8" numFmtId="0" xfId="0" applyBorder="1" applyFont="1"/>
    <xf borderId="5" fillId="9" fontId="6" numFmtId="9" xfId="0" applyBorder="1" applyFill="1" applyFont="1" applyNumberFormat="1"/>
    <xf borderId="1" fillId="8" fontId="7" numFmtId="0" xfId="0" applyAlignment="1" applyBorder="1" applyFill="1" applyFont="1">
      <alignment horizontal="center"/>
    </xf>
    <xf borderId="5" fillId="10" fontId="6" numFmtId="0" xfId="0" applyAlignment="1" applyBorder="1" applyFill="1" applyFont="1">
      <alignment horizontal="center"/>
    </xf>
    <xf borderId="0" fillId="0" fontId="6" numFmtId="0" xfId="0" applyAlignment="1" applyFont="1">
      <alignment shrinkToFit="0" wrapText="1"/>
    </xf>
    <xf borderId="0" fillId="0" fontId="8" numFmtId="0" xfId="0" applyAlignment="1" applyFont="1">
      <alignment shrinkToFit="0" wrapText="1"/>
    </xf>
    <xf borderId="5" fillId="9" fontId="6" numFmtId="0" xfId="0" applyAlignment="1" applyBorder="1" applyFill="1" applyFont="1">
      <alignment horizontal="center" shrinkToFit="0" vertical="center" wrapText="1"/>
    </xf>
    <xf borderId="1" fillId="7" fontId="8" numFmtId="0" xfId="0" applyAlignment="1" applyBorder="1" applyFill="1" applyFont="1">
      <alignment readingOrder="0" shrinkToFit="0" wrapText="1"/>
    </xf>
    <xf borderId="5" fillId="7" fontId="10" numFmtId="0" xfId="0" applyAlignment="1" applyBorder="1" applyFill="1" applyFont="1">
      <alignment readingOrder="0" shrinkToFit="0" vertical="top" wrapText="1"/>
    </xf>
    <xf borderId="1" fillId="7" fontId="8" numFmtId="164" xfId="0" applyAlignment="1" applyBorder="1" applyFill="1" applyFont="1" applyNumberFormat="1">
      <alignment horizontal="left" shrinkToFit="0" wrapText="1"/>
    </xf>
    <xf borderId="1" fillId="3" fontId="12" numFmtId="0" xfId="0" applyAlignment="1" applyBorder="1" applyFill="1" applyFont="1">
      <alignment shrinkToFit="0" vertical="center" wrapText="1"/>
    </xf>
    <xf borderId="9" fillId="9" fontId="6" numFmtId="0" xfId="0" applyBorder="1" applyFill="1" applyFont="1"/>
    <xf borderId="10" fillId="0" fontId="3" numFmtId="0" xfId="0" applyBorder="1" applyFont="1"/>
    <xf borderId="11" fillId="9" fontId="6" numFmtId="0" xfId="0" applyBorder="1" applyFill="1" applyFont="1"/>
    <xf borderId="1" fillId="2" fontId="7" numFmtId="0" xfId="0" applyAlignment="1" applyBorder="1" applyFill="1" applyFont="1">
      <alignment horizontal="center" vertical="center"/>
    </xf>
    <xf borderId="12" fillId="11" fontId="13" numFmtId="0" xfId="0" applyAlignment="1" applyBorder="1" applyFill="1" applyFont="1">
      <alignment shrinkToFit="0" vertical="center" wrapText="1"/>
    </xf>
    <xf borderId="13" fillId="0" fontId="3" numFmtId="0" xfId="0" applyBorder="1" applyFont="1"/>
    <xf borderId="1" fillId="12" fontId="14" numFmtId="0" xfId="0" applyAlignment="1" applyBorder="1" applyFill="1" applyFont="1">
      <alignment horizontal="center" vertical="center"/>
    </xf>
    <xf borderId="14" fillId="0" fontId="3" numFmtId="0" xfId="0" applyBorder="1" applyFont="1"/>
    <xf borderId="15" fillId="0" fontId="3" numFmtId="0" xfId="0" applyBorder="1" applyFont="1"/>
    <xf borderId="5" fillId="0" fontId="15" numFmtId="0" xfId="0" applyAlignment="1" applyBorder="1" applyFont="1">
      <alignment shrinkToFit="0" vertical="top" wrapText="1"/>
    </xf>
    <xf borderId="5" fillId="13" fontId="16" numFmtId="0" xfId="0" applyAlignment="1" applyBorder="1" applyFill="1" applyFont="1">
      <alignment shrinkToFit="0" vertical="top" wrapText="1"/>
    </xf>
    <xf borderId="5" fillId="0" fontId="17" numFmtId="0" xfId="0" applyAlignment="1" applyBorder="1" applyFont="1">
      <alignment horizontal="right" shrinkToFit="0" vertical="top" wrapText="1"/>
    </xf>
    <xf borderId="5" fillId="7" fontId="15" numFmtId="0" xfId="0" applyAlignment="1" applyBorder="1" applyFill="1" applyFont="1">
      <alignment shrinkToFit="0" vertical="top" wrapText="1"/>
    </xf>
    <xf borderId="5" fillId="10" fontId="15" numFmtId="0" xfId="0" applyAlignment="1" applyBorder="1" applyFill="1" applyFont="1">
      <alignment shrinkToFit="0" vertical="top" wrapText="1"/>
    </xf>
    <xf borderId="5" fillId="6" fontId="18" numFmtId="0" xfId="0" applyAlignment="1" applyBorder="1" applyFill="1" applyFont="1">
      <alignment shrinkToFit="0" vertical="top" wrapText="1"/>
    </xf>
    <xf borderId="5" fillId="6" fontId="15" numFmtId="0" xfId="0" applyAlignment="1" applyBorder="1" applyFill="1" applyFont="1">
      <alignment shrinkToFit="0" vertical="top" wrapText="1"/>
    </xf>
    <xf borderId="5" fillId="14" fontId="16" numFmtId="0" xfId="0" applyAlignment="1" applyBorder="1" applyFill="1" applyFont="1">
      <alignment shrinkToFit="0" vertical="top" wrapText="1"/>
    </xf>
    <xf borderId="5" fillId="15" fontId="16" numFmtId="0" xfId="0" applyAlignment="1" applyBorder="1" applyFill="1" applyFont="1">
      <alignment shrinkToFit="0" vertical="top" wrapText="1"/>
    </xf>
    <xf borderId="5" fillId="16" fontId="16" numFmtId="0" xfId="0" applyAlignment="1" applyBorder="1" applyFill="1" applyFont="1">
      <alignment shrinkToFit="0" vertical="top" wrapText="1"/>
    </xf>
    <xf borderId="5" fillId="17" fontId="16" numFmtId="0" xfId="0" applyAlignment="1" applyBorder="1" applyFill="1" applyFont="1">
      <alignment shrinkToFit="0" vertical="top" wrapText="1"/>
    </xf>
    <xf borderId="9" fillId="9" fontId="6" numFmtId="0" xfId="0" applyAlignment="1" applyBorder="1" applyFill="1" applyFont="1">
      <alignment vertical="center"/>
    </xf>
    <xf borderId="16" fillId="0" fontId="3" numFmtId="0" xfId="0" applyBorder="1" applyFont="1"/>
    <xf borderId="11" fillId="9" fontId="6" numFmtId="0" xfId="0" applyAlignment="1" applyBorder="1" applyFill="1" applyFont="1">
      <alignment vertical="center"/>
    </xf>
    <xf borderId="1" fillId="18" fontId="19" numFmtId="0" xfId="0" applyAlignment="1" applyBorder="1" applyFill="1" applyFont="1">
      <alignment horizontal="center" vertical="center"/>
    </xf>
    <xf borderId="1" fillId="7" fontId="20" numFmtId="0" xfId="0" applyAlignment="1" applyBorder="1" applyFill="1" applyFont="1">
      <alignment shrinkToFit="0" vertical="center" wrapText="1"/>
    </xf>
    <xf borderId="1" fillId="10" fontId="21" numFmtId="0" xfId="0" applyAlignment="1" applyBorder="1" applyFill="1" applyFont="1">
      <alignment shrinkToFit="0" vertical="center" wrapText="1"/>
    </xf>
    <xf borderId="17" fillId="19" fontId="22" numFmtId="0" xfId="0" applyAlignment="1" applyBorder="1" applyFill="1" applyFont="1">
      <alignment horizontal="center"/>
    </xf>
    <xf borderId="18" fillId="19" fontId="22" numFmtId="0" xfId="0" applyAlignment="1" applyBorder="1" applyFill="1" applyFont="1">
      <alignment horizontal="center"/>
    </xf>
    <xf borderId="19" fillId="0" fontId="8" numFmtId="0" xfId="0" applyBorder="1" applyFont="1"/>
    <xf borderId="20" fillId="0" fontId="8" numFmtId="0" xfId="0" applyBorder="1" applyFont="1"/>
    <xf borderId="21" fillId="0" fontId="8" numFmtId="0" xfId="0" applyBorder="1" applyFont="1"/>
    <xf borderId="22" fillId="0" fontId="8" numFmtId="0" xfId="0" applyBorder="1" applyFont="1"/>
    <xf borderId="4" fillId="20" fontId="22" numFmtId="0" xfId="0" applyAlignment="1" applyBorder="1" applyFill="1" applyFont="1">
      <alignment horizontal="center" shrinkToFit="0" vertical="center" wrapText="1"/>
    </xf>
    <xf borderId="23" fillId="0" fontId="8" numFmtId="0" xfId="0" applyAlignment="1" applyBorder="1" applyFont="1">
      <alignment horizontal="center" shrinkToFit="0" vertical="top" wrapText="1"/>
    </xf>
    <xf borderId="24" fillId="21" fontId="8" numFmtId="0" xfId="0" applyAlignment="1" applyBorder="1" applyFill="1" applyFont="1">
      <alignment shrinkToFit="0" vertical="top" wrapText="1"/>
    </xf>
    <xf borderId="24" fillId="22" fontId="8" numFmtId="0" xfId="0" applyAlignment="1" applyBorder="1" applyFill="1" applyFont="1">
      <alignment shrinkToFit="0" vertical="top" wrapText="1"/>
    </xf>
    <xf borderId="24" fillId="22" fontId="23" numFmtId="0" xfId="0" applyAlignment="1" applyBorder="1" applyFill="1" applyFont="1">
      <alignment shrinkToFit="0" vertical="top" wrapText="1"/>
    </xf>
    <xf borderId="24" fillId="22" fontId="10" numFmtId="0" xfId="0" applyAlignment="1" applyBorder="1" applyFill="1" applyFont="1">
      <alignment readingOrder="0" shrinkToFit="0" vertical="top" wrapText="1"/>
    </xf>
    <xf borderId="24" fillId="23" fontId="6" numFmtId="0" xfId="0" applyAlignment="1" applyBorder="1" applyFill="1" applyFont="1">
      <alignment shrinkToFit="0" vertical="top" wrapText="1"/>
    </xf>
    <xf borderId="24" fillId="22" fontId="8" numFmtId="0" xfId="0" applyAlignment="1" applyBorder="1" applyFill="1" applyFont="1">
      <alignment horizontal="center" shrinkToFit="0" vertical="top" wrapText="1"/>
    </xf>
    <xf borderId="25" fillId="22" fontId="8" numFmtId="0" xfId="0" applyAlignment="1" applyBorder="1" applyFill="1" applyFont="1">
      <alignment shrinkToFit="0" vertical="top" wrapText="1"/>
    </xf>
    <xf borderId="26" fillId="0" fontId="8" numFmtId="0" xfId="0" applyAlignment="1" applyBorder="1" applyFont="1">
      <alignment horizontal="center" shrinkToFit="0" vertical="top" wrapText="1"/>
    </xf>
    <xf borderId="4" fillId="21" fontId="8" numFmtId="0" xfId="0" applyAlignment="1" applyBorder="1" applyFill="1" applyFont="1">
      <alignment shrinkToFit="0" vertical="top" wrapText="1"/>
    </xf>
    <xf borderId="4" fillId="22" fontId="8" numFmtId="0" xfId="0" applyAlignment="1" applyBorder="1" applyFill="1" applyFont="1">
      <alignment shrinkToFit="0" vertical="top" wrapText="1"/>
    </xf>
    <xf borderId="4" fillId="22" fontId="24" numFmtId="0" xfId="0" applyAlignment="1" applyBorder="1" applyFill="1" applyFont="1">
      <alignment shrinkToFit="0" vertical="top" wrapText="1"/>
    </xf>
    <xf borderId="4" fillId="22" fontId="10" numFmtId="0" xfId="0" applyAlignment="1" applyBorder="1" applyFill="1" applyFont="1">
      <alignment readingOrder="0" shrinkToFit="0" vertical="top" wrapText="1"/>
    </xf>
    <xf borderId="4" fillId="22" fontId="8" numFmtId="0" xfId="0" applyAlignment="1" applyBorder="1" applyFill="1" applyFont="1">
      <alignment horizontal="center" shrinkToFit="0" vertical="top" wrapText="1"/>
    </xf>
    <xf borderId="27" fillId="22" fontId="8" numFmtId="0" xfId="0" applyAlignment="1" applyBorder="1" applyFill="1" applyFont="1">
      <alignment shrinkToFit="0" vertical="top" wrapText="1"/>
    </xf>
    <xf borderId="4" fillId="22" fontId="25" numFmtId="0" xfId="0" applyAlignment="1" applyBorder="1" applyFill="1" applyFont="1">
      <alignment shrinkToFit="0" vertical="top" wrapText="1"/>
    </xf>
    <xf borderId="4" fillId="22" fontId="8" numFmtId="0" xfId="0" applyAlignment="1" applyBorder="1" applyFill="1" applyFont="1">
      <alignment readingOrder="0" shrinkToFit="0" vertical="top" wrapText="1"/>
    </xf>
    <xf borderId="4" fillId="10" fontId="8" numFmtId="0" xfId="0" applyAlignment="1" applyBorder="1" applyFill="1" applyFont="1">
      <alignment shrinkToFit="0" vertical="top" wrapText="1"/>
    </xf>
    <xf borderId="4" fillId="7" fontId="8" numFmtId="0" xfId="0" applyAlignment="1" applyBorder="1" applyFill="1" applyFont="1">
      <alignment shrinkToFit="0" vertical="top" wrapText="1"/>
    </xf>
    <xf borderId="4" fillId="24" fontId="8" numFmtId="0" xfId="0" applyAlignment="1" applyBorder="1" applyFill="1" applyFont="1">
      <alignment shrinkToFit="0" vertical="top" wrapText="1"/>
    </xf>
    <xf borderId="4" fillId="25" fontId="8" numFmtId="0" xfId="0" applyAlignment="1" applyBorder="1" applyFill="1" applyFont="1">
      <alignment shrinkToFit="0" vertical="top" wrapText="1"/>
    </xf>
    <xf borderId="4" fillId="26" fontId="8" numFmtId="0" xfId="0" applyAlignment="1" applyBorder="1" applyFill="1" applyFont="1">
      <alignment shrinkToFit="0" vertical="top" wrapText="1"/>
    </xf>
    <xf borderId="28" fillId="0" fontId="8" numFmtId="0" xfId="0" applyAlignment="1" applyBorder="1" applyFont="1">
      <alignment horizontal="center" shrinkToFit="0" vertical="top" wrapText="1"/>
    </xf>
    <xf borderId="29" fillId="26" fontId="8" numFmtId="0" xfId="0" applyAlignment="1" applyBorder="1" applyFill="1" applyFont="1">
      <alignment shrinkToFit="0" vertical="top" wrapText="1"/>
    </xf>
    <xf borderId="29" fillId="22" fontId="8" numFmtId="0" xfId="0" applyAlignment="1" applyBorder="1" applyFill="1" applyFont="1">
      <alignment shrinkToFit="0" vertical="top" wrapText="1"/>
    </xf>
    <xf borderId="29" fillId="22" fontId="26" numFmtId="0" xfId="0" applyAlignment="1" applyBorder="1" applyFill="1" applyFont="1">
      <alignment shrinkToFit="0" vertical="top" wrapText="1"/>
    </xf>
    <xf borderId="29" fillId="22" fontId="8" numFmtId="0" xfId="0" applyAlignment="1" applyBorder="1" applyFill="1" applyFont="1">
      <alignment horizontal="center" shrinkToFit="0" vertical="top" wrapText="1"/>
    </xf>
    <xf borderId="30" fillId="22" fontId="8" numFmtId="0" xfId="0" applyAlignment="1" applyBorder="1" applyFill="1" applyFont="1">
      <alignment shrinkToFit="0" vertical="top" wrapText="1"/>
    </xf>
    <xf borderId="1" fillId="9" fontId="27" numFmtId="0" xfId="0" applyAlignment="1" applyBorder="1" applyFill="1" applyFont="1">
      <alignment shrinkToFit="0" vertical="center" wrapText="1"/>
    </xf>
    <xf borderId="1" fillId="27" fontId="28" numFmtId="0" xfId="0" applyAlignment="1" applyBorder="1" applyFill="1" applyFont="1">
      <alignment shrinkToFit="0" vertical="center" wrapText="1"/>
    </xf>
  </cellXfs>
  <cellStyles count="1">
    <cellStyle xfId="0" name="Normal" builtinId="0"/>
  </cellStyles>
  <dxfs count="8">
    <dxf>
      <font>
        <b/>
        <color rgb="FF991B1B"/>
      </font>
      <fill>
        <patternFill patternType="solid">
          <fgColor rgb="FFFECACA"/>
          <bgColor rgb="FFFECACA"/>
        </patternFill>
      </fill>
      <border/>
    </dxf>
    <dxf>
      <font>
        <b/>
        <color rgb="FF14532D"/>
      </font>
      <fill>
        <patternFill patternType="solid">
          <fgColor rgb="FFBBF7D0"/>
          <bgColor rgb="FFBBF7D0"/>
        </patternFill>
      </fill>
      <border/>
    </dxf>
    <dxf>
      <font>
        <b/>
        <color rgb="FF854D0E"/>
      </font>
      <fill>
        <patternFill patternType="solid">
          <fgColor rgb="FFFEF3C7"/>
          <bgColor rgb="FFFEF3C7"/>
        </patternFill>
      </fill>
      <border/>
    </dxf>
    <dxf>
      <font>
        <b/>
        <color rgb="FF375623"/>
      </font>
      <fill>
        <patternFill patternType="solid">
          <fgColor rgb="FFC6E0B4"/>
          <bgColor rgb="FFC6E0B4"/>
        </patternFill>
      </fill>
      <border/>
    </dxf>
    <dxf>
      <font/>
      <fill>
        <patternFill patternType="solid">
          <fgColor rgb="FFFFE699"/>
          <bgColor rgb="FFFFE699"/>
        </patternFill>
      </fill>
      <border/>
    </dxf>
    <dxf>
      <font>
        <color rgb="FF7F7F7F"/>
      </font>
      <fill>
        <patternFill patternType="solid">
          <fgColor rgb="FFF2F2F2"/>
          <bgColor rgb="FFF2F2F2"/>
        </patternFill>
      </fill>
      <border/>
    </dxf>
    <dxf>
      <font>
        <b/>
      </font>
      <fill>
        <patternFill patternType="solid">
          <fgColor rgb="FFC6E0B4"/>
          <bgColor rgb="FFC6E0B4"/>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111827"/>
      </a:dk1>
      <a:lt1>
        <a:srgbClr val="FFFFFF"/>
      </a:lt1>
      <a:dk2>
        <a:srgbClr val="111827"/>
      </a:dk2>
      <a:lt2>
        <a:srgbClr val="FFFFFF"/>
      </a:lt2>
      <a:accent1>
        <a:srgbClr val="1F4E78"/>
      </a:accent1>
      <a:accent2>
        <a:srgbClr val="F59E0B"/>
      </a:accent2>
      <a:accent3>
        <a:srgbClr val="16A34A"/>
      </a:accent3>
      <a:accent4>
        <a:srgbClr val="0EA5E9"/>
      </a:accent4>
      <a:accent5>
        <a:srgbClr val="7C3AED"/>
      </a:accent5>
      <a:accent6>
        <a:srgbClr val="0F766E"/>
      </a:accent6>
      <a:hlink>
        <a:srgbClr val="2563EB"/>
      </a:hlink>
      <a:folHlink>
        <a:srgbClr val="2563EB"/>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github.com/EnsoTech-Studio/CryptoBot/blob/d39f3510fcec0e2716caef4c5670ec955d0a2cc2/app/domain/strategy/plugins/news_sentiment.py" TargetMode="External"/><Relationship Id="rId22" Type="http://schemas.openxmlformats.org/officeDocument/2006/relationships/hyperlink" Target="https://github.com/EnsoTech-Studio/CryptoBot/blob/d39f3510fcec0e2716caef4c5670ec955d0a2cc2/blueprint/design.md" TargetMode="External"/><Relationship Id="rId21" Type="http://schemas.openxmlformats.org/officeDocument/2006/relationships/hyperlink" Target="https://github.com/EnsoTech-Studio/CryptoBot/blob/d39f3510fcec0e2716caef4c5670ec955d0a2cc2/README.md" TargetMode="External"/><Relationship Id="rId24" Type="http://schemas.openxmlformats.org/officeDocument/2006/relationships/hyperlink" Target="https://github.com/EnsoTech-Studio/CryptoBot/blob/d39f3510fcec0e2716caef4c5670ec955d0a2cc2/Slide/main.md" TargetMode="External"/><Relationship Id="rId23" Type="http://schemas.openxmlformats.org/officeDocument/2006/relationships/hyperlink" Target="https://github.com/EnsoTech-Studio/CryptoBot/blob/d39f3510fcec0e2716caef4c5670ec955d0a2cc2/blueprint/design.md" TargetMode="External"/><Relationship Id="rId1" Type="http://schemas.openxmlformats.org/officeDocument/2006/relationships/hyperlink" Target="https://github.com/EnsoTech-Studio/CryptoBot" TargetMode="External"/><Relationship Id="rId2" Type="http://schemas.openxmlformats.org/officeDocument/2006/relationships/hyperlink" Target="https://github.com/EnsoTech-Studio/CryptoBot/tree/main/blueprint" TargetMode="External"/><Relationship Id="rId3" Type="http://schemas.openxmlformats.org/officeDocument/2006/relationships/hyperlink" Target="https://github.com/EnsoTech-Studio/CryptoBot" TargetMode="External"/><Relationship Id="rId4" Type="http://schemas.openxmlformats.org/officeDocument/2006/relationships/hyperlink" Target="https://github.com/EnsoTech-Studio/CryptoBot/blob/d39f3510fcec0e2716caef4c5670ec955d0a2cc2/app/domain/strategy/registry.py" TargetMode="External"/><Relationship Id="rId9" Type="http://schemas.openxmlformats.org/officeDocument/2006/relationships/hyperlink" Target="https://github.com/EnsoTech-Studio/CryptoBot/blob/d39f3510fcec0e2716caef4c5670ec955d0a2cc2/docs/architecture/architectural-drivers.md" TargetMode="External"/><Relationship Id="rId26" Type="http://schemas.openxmlformats.org/officeDocument/2006/relationships/hyperlink" Target="https://github.com/EnsoTech-Studio/CryptoBot/blob/d39f3510fcec0e2716caef4c5670ec955d0a2cc2/scripts/failure-contract-smoke.ps1" TargetMode="External"/><Relationship Id="rId25" Type="http://schemas.openxmlformats.org/officeDocument/2006/relationships/hyperlink" Target="https://github.com/EnsoTech-Studio/CryptoBot/blob/d39f3510fcec0e2716caef4c5670ec955d0a2cc2/scripts/rehearsal-smoke.ps1" TargetMode="External"/><Relationship Id="rId28" Type="http://schemas.openxmlformats.org/officeDocument/2006/relationships/drawing" Target="../drawings/drawing1.xml"/><Relationship Id="rId27" Type="http://schemas.openxmlformats.org/officeDocument/2006/relationships/hyperlink" Target="https://github.com/EnsoTech-Studio/CryptoBot/blob/d39f3510fcec0e2716caef4c5670ec955d0a2cc2/docs/benchmark-100k-2026-09-03.json" TargetMode="External"/><Relationship Id="rId5" Type="http://schemas.openxmlformats.org/officeDocument/2006/relationships/hyperlink" Target="https://github.com/EnsoTech-Studio/CryptoBot/blob/d39f3510fcec0e2716caef4c5670ec955d0a2cc2/blueprint/design.md" TargetMode="External"/><Relationship Id="rId6" Type="http://schemas.openxmlformats.org/officeDocument/2006/relationships/hyperlink" Target="https://github.com/EnsoTech-Studio/CryptoBot/blob/d39f3510fcec0e2716caef4c5670ec955d0a2cc2/server/internal/infrastructure/market/registry.go" TargetMode="External"/><Relationship Id="rId7" Type="http://schemas.openxmlformats.org/officeDocument/2006/relationships/hyperlink" Target="https://github.com/EnsoTech-Studio/CryptoBot/blob/d39f3510fcec0e2716caef4c5670ec955d0a2cc2/docs/benchmark-100k-2026-09-03.json" TargetMode="External"/><Relationship Id="rId8" Type="http://schemas.openxmlformats.org/officeDocument/2006/relationships/hyperlink" Target="https://github.com/EnsoTech-Studio/CryptoBot/blob/d39f3510fcec0e2716caef4c5670ec955d0a2cc2/server/internal/infrastructure/postgres/store.go" TargetMode="External"/><Relationship Id="rId11" Type="http://schemas.openxmlformats.org/officeDocument/2006/relationships/hyperlink" Target="https://github.com/EnsoTech-Studio/CryptoBot/blob/d39f3510fcec0e2716caef4c5670ec955d0a2cc2/server/internal/infrastructure/market/binance.go" TargetMode="External"/><Relationship Id="rId10" Type="http://schemas.openxmlformats.org/officeDocument/2006/relationships/hyperlink" Target="https://github.com/EnsoTech-Studio/CryptoBot/blob/d39f3510fcec0e2716caef4c5670ec955d0a2cc2/blueprint/design.md" TargetMode="External"/><Relationship Id="rId13" Type="http://schemas.openxmlformats.org/officeDocument/2006/relationships/hyperlink" Target="https://github.com/EnsoTech-Studio/CryptoBot/blob/d39f3510fcec0e2716caef4c5670ec955d0a2cc2/app/domain/strategy/composite/contract.py" TargetMode="External"/><Relationship Id="rId12" Type="http://schemas.openxmlformats.org/officeDocument/2006/relationships/hyperlink" Target="https://github.com/EnsoTech-Studio/CryptoBot/blob/d39f3510fcec0e2716caef4c5670ec955d0a2cc2/app/domain/strategy/plugins/catalog.py" TargetMode="External"/><Relationship Id="rId15" Type="http://schemas.openxmlformats.org/officeDocument/2006/relationships/hyperlink" Target="https://github.com/EnsoTech-Studio/CryptoBot/blob/d39f3510fcec0e2716caef4c5670ec955d0a2cc2/app/services/evaluator.py" TargetMode="External"/><Relationship Id="rId14" Type="http://schemas.openxmlformats.org/officeDocument/2006/relationships/hyperlink" Target="https://github.com/EnsoTech-Studio/CryptoBot/blob/d39f3510fcec0e2716caef4c5670ec955d0a2cc2/app/services/backtest_engine.py" TargetMode="External"/><Relationship Id="rId17" Type="http://schemas.openxmlformats.org/officeDocument/2006/relationships/hyperlink" Target="https://github.com/EnsoTech-Studio/CryptoBot/blob/d39f3510fcec0e2716caef4c5670ec955d0a2cc2/app/infrastructure/postgres/store.py" TargetMode="External"/><Relationship Id="rId16" Type="http://schemas.openxmlformats.org/officeDocument/2006/relationships/hyperlink" Target="https://github.com/EnsoTech-Studio/CryptoBot/blob/d39f3510fcec0e2716caef4c5670ec955d0a2cc2/app/services/search.py" TargetMode="External"/><Relationship Id="rId19" Type="http://schemas.openxmlformats.org/officeDocument/2006/relationships/hyperlink" Target="https://github.com/EnsoTech-Studio/CryptoBot/blob/d39f3510fcec0e2716caef4c5670ec955d0a2cc2/app/services/news.py" TargetMode="External"/><Relationship Id="rId18" Type="http://schemas.openxmlformats.org/officeDocument/2006/relationships/hyperlink" Target="https://github.com/EnsoTech-Studio/CryptoBot/blob/d39f3510fcec0e2716caef4c5670ec955d0a2cc2/app/services/chart_overlays.py"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hyperlink" Target="https://github.com/EnsoTech-Studio/CryptoBot/blob/d39f3510fcec0e2716caef4c5670ec955d0a2cc2/docs/benchmark-100k-2026-09-03.json" TargetMode="External"/><Relationship Id="rId22" Type="http://schemas.openxmlformats.org/officeDocument/2006/relationships/hyperlink" Target="https://github.com/EnsoTech-Studio/CryptoBot/blob/d39f3510fcec0e2716caef4c5670ec955d0a2cc2/blueprint/design.md" TargetMode="External"/><Relationship Id="rId21" Type="http://schemas.openxmlformats.org/officeDocument/2006/relationships/hyperlink" Target="https://github.com/EnsoTech-Studio/CryptoBot/blob/d39f3510fcec0e2716caef4c5670ec955d0a2cc2/blueprint/design.md" TargetMode="External"/><Relationship Id="rId24" Type="http://schemas.openxmlformats.org/officeDocument/2006/relationships/hyperlink" Target="https://github.com/EnsoTech-Studio/CryptoBot/blob/d39f3510fcec0e2716caef4c5670ec955d0a2cc2/app/domain/strategy/registry.py" TargetMode="External"/><Relationship Id="rId23" Type="http://schemas.openxmlformats.org/officeDocument/2006/relationships/hyperlink" Target="https://github.com/EnsoTech-Studio/CryptoBot/blob/d39f3510fcec0e2716caef4c5670ec955d0a2cc2/blueprint/design.md" TargetMode="External"/><Relationship Id="rId1" Type="http://schemas.openxmlformats.org/officeDocument/2006/relationships/hyperlink" Target="https://github.com/EnsoTech-Studio/CryptoBot/blob/d39f3510fcec0e2716caef4c5670ec955d0a2cc2/app/services/discovery/generators.py" TargetMode="External"/><Relationship Id="rId2" Type="http://schemas.openxmlformats.org/officeDocument/2006/relationships/hyperlink" Target="https://github.com/EnsoTech-Studio/CryptoBot/blob/d39f3510fcec0e2716caef4c5670ec955d0a2cc2/app/services/discovery/generators.py" TargetMode="External"/><Relationship Id="rId3" Type="http://schemas.openxmlformats.org/officeDocument/2006/relationships/hyperlink" Target="https://github.com/EnsoTech-Studio/CryptoBot/blob/d39f3510fcec0e2716caef4c5670ec955d0a2cc2/app/services/discovery/generators.py" TargetMode="External"/><Relationship Id="rId4" Type="http://schemas.openxmlformats.org/officeDocument/2006/relationships/hyperlink" Target="https://github.com/EnsoTech-Studio/CryptoBot/blob/d39f3510fcec0e2716caef4c5670ec955d0a2cc2/app/services/authoring.py" TargetMode="External"/><Relationship Id="rId9" Type="http://schemas.openxmlformats.org/officeDocument/2006/relationships/hyperlink" Target="https://github.com/EnsoTech-Studio/CryptoBot/blob/d39f3510fcec0e2716caef4c5670ec955d0a2cc2/app/domain/backtest/contract.py" TargetMode="External"/><Relationship Id="rId26" Type="http://schemas.openxmlformats.org/officeDocument/2006/relationships/hyperlink" Target="https://github.com/EnsoTech-Studio/CryptoBot/blob/d39f3510fcec0e2716caef4c5670ec955d0a2cc2/blueprint/design.md" TargetMode="External"/><Relationship Id="rId25" Type="http://schemas.openxmlformats.org/officeDocument/2006/relationships/hyperlink" Target="https://github.com/EnsoTech-Studio/CryptoBot/blob/d39f3510fcec0e2716caef4c5670ec955d0a2cc2/app/infrastructure/news/html.py" TargetMode="External"/><Relationship Id="rId28" Type="http://schemas.openxmlformats.org/officeDocument/2006/relationships/hyperlink" Target="https://github.com/EnsoTech-Studio/CryptoBot/blob/d39f3510fcec0e2716caef4c5670ec955d0a2cc2/blueprint/design.md" TargetMode="External"/><Relationship Id="rId27" Type="http://schemas.openxmlformats.org/officeDocument/2006/relationships/hyperlink" Target="https://github.com/EnsoTech-Studio/CryptoBot/blob/d39f3510fcec0e2716caef4c5670ec955d0a2cc2/app/infrastructure/postgres/outbox.py" TargetMode="External"/><Relationship Id="rId5" Type="http://schemas.openxmlformats.org/officeDocument/2006/relationships/hyperlink" Target="https://github.com/EnsoTech-Studio/CryptoBot/blob/d39f3510fcec0e2716caef4c5670ec955d0a2cc2/app/services/agent_orchestrator.py" TargetMode="External"/><Relationship Id="rId6" Type="http://schemas.openxmlformats.org/officeDocument/2006/relationships/hyperlink" Target="https://github.com/EnsoTech-Studio/CryptoBot/blob/d39f3510fcec0e2716caef4c5670ec955d0a2cc2/app/services/discovery/generators.py" TargetMode="External"/><Relationship Id="rId29" Type="http://schemas.openxmlformats.org/officeDocument/2006/relationships/drawing" Target="../drawings/drawing5.xml"/><Relationship Id="rId7" Type="http://schemas.openxmlformats.org/officeDocument/2006/relationships/hyperlink" Target="https://github.com/EnsoTech-Studio/CryptoBot/blob/d39f3510fcec0e2716caef4c5670ec955d0a2cc2/app/services/search.py" TargetMode="External"/><Relationship Id="rId8" Type="http://schemas.openxmlformats.org/officeDocument/2006/relationships/hyperlink" Target="https://github.com/EnsoTech-Studio/CryptoBot/blob/d39f3510fcec0e2716caef4c5670ec955d0a2cc2/app/domain/common/types.py" TargetMode="External"/><Relationship Id="rId11" Type="http://schemas.openxmlformats.org/officeDocument/2006/relationships/hyperlink" Target="https://github.com/EnsoTech-Studio/CryptoBot/blob/d39f3510fcec0e2716caef4c5670ec955d0a2cc2/blueprint/specs/backtest.md" TargetMode="External"/><Relationship Id="rId10" Type="http://schemas.openxmlformats.org/officeDocument/2006/relationships/hyperlink" Target="https://github.com/EnsoTech-Studio/CryptoBot/blob/d39f3510fcec0e2716caef4c5670ec955d0a2cc2/app/domain/backtest/contract.py" TargetMode="External"/><Relationship Id="rId13" Type="http://schemas.openxmlformats.org/officeDocument/2006/relationships/hyperlink" Target="https://github.com/EnsoTech-Studio/CryptoBot/blob/d39f3510fcec0e2716caef4c5670ec955d0a2cc2/server/internal/domain/market/types.go" TargetMode="External"/><Relationship Id="rId12" Type="http://schemas.openxmlformats.org/officeDocument/2006/relationships/hyperlink" Target="https://github.com/EnsoTech-Studio/CryptoBot/blob/d39f3510fcec0e2716caef4c5670ec955d0a2cc2/app/services/backtest_engine.py" TargetMode="External"/><Relationship Id="rId15" Type="http://schemas.openxmlformats.org/officeDocument/2006/relationships/hyperlink" Target="https://github.com/EnsoTech-Studio/CryptoBot/blob/d39f3510fcec0e2716caef4c5670ec955d0a2cc2/app/domain/strategy/plugins/news_sentiment.py" TargetMode="External"/><Relationship Id="rId14" Type="http://schemas.openxmlformats.org/officeDocument/2006/relationships/hyperlink" Target="https://github.com/EnsoTech-Studio/CryptoBot/blob/d39f3510fcec0e2716caef4c5670ec955d0a2cc2/server/cmd/api/main.go" TargetMode="External"/><Relationship Id="rId17" Type="http://schemas.openxmlformats.org/officeDocument/2006/relationships/hyperlink" Target="https://github.com/EnsoTech-Studio/CryptoBot/blob/d39f3510fcec0e2716caef4c5670ec955d0a2cc2/docs/note-duc.txt" TargetMode="External"/><Relationship Id="rId16" Type="http://schemas.openxmlformats.org/officeDocument/2006/relationships/hyperlink" Target="https://github.com/EnsoTech-Studio/CryptoBot/blob/d39f3510fcec0e2716caef4c5670ec955d0a2cc2/docs/note-duc.txt" TargetMode="External"/><Relationship Id="rId19" Type="http://schemas.openxmlformats.org/officeDocument/2006/relationships/hyperlink" Target="https://github.com/EnsoTech-Studio/CryptoBot/blob/d39f3510fcec0e2716caef4c5670ec955d0a2cc2/app/infrastructure/postgres/outbox.py" TargetMode="External"/><Relationship Id="rId18" Type="http://schemas.openxmlformats.org/officeDocument/2006/relationships/hyperlink" Target="https://github.com/EnsoTech-Studio/CryptoBot/blob/d39f3510fcec0e2716caef4c5670ec955d0a2cc2/blueprint/design.m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0"/>
    <col customWidth="1" min="2" max="2" width="23.0"/>
    <col customWidth="1" min="3" max="3" width="28.0"/>
    <col customWidth="1" min="4" max="4" width="58.0"/>
    <col customWidth="1" min="5" max="5" width="11.0"/>
    <col customWidth="1" min="6" max="6" width="13.0"/>
    <col customWidth="1" min="7" max="7" width="12.0"/>
    <col customWidth="1" min="8" max="9" width="34.0"/>
    <col customWidth="1" min="10" max="10" width="18.0"/>
    <col customWidth="1" min="11" max="11" width="8.63"/>
    <col customWidth="1" min="12" max="12" width="25.0"/>
    <col customWidth="1" min="13" max="14" width="12.0"/>
  </cols>
  <sheetData>
    <row r="1" ht="30.0" customHeight="1">
      <c r="A1" s="2" t="s">
        <v>2</v>
      </c>
      <c r="B1" s="3"/>
      <c r="C1" s="3"/>
      <c r="D1" s="3"/>
      <c r="E1" s="3"/>
      <c r="F1" s="3"/>
      <c r="G1" s="3"/>
      <c r="H1" s="3"/>
      <c r="I1" s="3"/>
      <c r="J1" s="4"/>
      <c r="K1" s="5"/>
      <c r="L1" s="5"/>
      <c r="M1" s="5"/>
      <c r="N1" s="5"/>
      <c r="O1" s="5"/>
      <c r="P1" s="5"/>
      <c r="Q1" s="5"/>
      <c r="R1" s="5"/>
      <c r="S1" s="5"/>
      <c r="T1" s="5"/>
      <c r="U1" s="5"/>
      <c r="V1" s="5"/>
      <c r="W1" s="5"/>
      <c r="X1" s="5"/>
      <c r="Y1" s="5"/>
      <c r="Z1" s="5"/>
    </row>
    <row r="2" ht="14.25" customHeight="1">
      <c r="A2" s="5"/>
      <c r="B2" s="5"/>
      <c r="C2" s="5"/>
      <c r="D2" s="5"/>
      <c r="E2" s="5"/>
      <c r="F2" s="5"/>
      <c r="G2" s="5"/>
      <c r="H2" s="5"/>
      <c r="I2" s="5"/>
      <c r="J2" s="5"/>
      <c r="K2" s="5"/>
      <c r="L2" s="5"/>
      <c r="M2" s="5"/>
      <c r="N2" s="5"/>
      <c r="O2" s="5"/>
      <c r="P2" s="5"/>
      <c r="Q2" s="5"/>
      <c r="R2" s="5"/>
      <c r="S2" s="5"/>
      <c r="T2" s="5"/>
      <c r="U2" s="5"/>
      <c r="V2" s="5"/>
      <c r="W2" s="5"/>
      <c r="X2" s="5"/>
      <c r="Y2" s="5"/>
      <c r="Z2" s="5"/>
    </row>
    <row r="3" ht="14.25" customHeight="1">
      <c r="A3" s="11" t="s">
        <v>13</v>
      </c>
      <c r="B3" s="4"/>
      <c r="C3" s="14" t="s">
        <v>23</v>
      </c>
      <c r="D3" s="3"/>
      <c r="E3" s="11" t="s">
        <v>26</v>
      </c>
      <c r="F3" s="4"/>
      <c r="G3" s="18" t="s">
        <v>30</v>
      </c>
      <c r="H3" s="3"/>
      <c r="I3" s="3"/>
      <c r="J3" s="4"/>
      <c r="K3" s="5"/>
      <c r="L3" s="19" t="s">
        <v>47</v>
      </c>
      <c r="M3" s="19" t="s">
        <v>48</v>
      </c>
      <c r="N3" s="19" t="s">
        <v>51</v>
      </c>
      <c r="O3" s="5"/>
      <c r="P3" s="5"/>
      <c r="Q3" s="5"/>
      <c r="R3" s="5"/>
      <c r="S3" s="5"/>
      <c r="T3" s="5"/>
      <c r="U3" s="5"/>
      <c r="V3" s="5"/>
      <c r="W3" s="5"/>
      <c r="X3" s="5"/>
      <c r="Y3" s="5"/>
      <c r="Z3" s="5"/>
    </row>
    <row r="4" ht="14.25" customHeight="1">
      <c r="A4" s="11" t="s">
        <v>54</v>
      </c>
      <c r="B4" s="4"/>
      <c r="C4" s="14" t="s">
        <v>57</v>
      </c>
      <c r="D4" s="3"/>
      <c r="E4" s="11" t="s">
        <v>60</v>
      </c>
      <c r="F4" s="4"/>
      <c r="G4" s="21"/>
      <c r="H4" s="3"/>
      <c r="I4" s="3"/>
      <c r="J4" s="4"/>
      <c r="K4" s="5"/>
      <c r="L4" s="24" t="s">
        <v>73</v>
      </c>
      <c r="M4" s="24">
        <v>35.0</v>
      </c>
      <c r="N4" s="27">
        <f>ROUND(SUM(G16:G22),1)</f>
        <v>70</v>
      </c>
      <c r="O4" s="5"/>
      <c r="P4" s="5"/>
      <c r="Q4" s="5"/>
      <c r="R4" s="5"/>
      <c r="S4" s="5"/>
      <c r="T4" s="5"/>
      <c r="U4" s="5"/>
      <c r="V4" s="5"/>
      <c r="W4" s="5"/>
      <c r="X4" s="5"/>
      <c r="Y4" s="5"/>
      <c r="Z4" s="5"/>
    </row>
    <row r="5" ht="14.25" customHeight="1">
      <c r="A5" s="11" t="s">
        <v>83</v>
      </c>
      <c r="B5" s="4"/>
      <c r="C5" s="31" t="s">
        <v>87</v>
      </c>
      <c r="D5" s="3"/>
      <c r="E5" s="11" t="s">
        <v>90</v>
      </c>
      <c r="F5" s="4"/>
      <c r="G5" s="18" t="s">
        <v>92</v>
      </c>
      <c r="H5" s="3"/>
      <c r="I5" s="3"/>
      <c r="J5" s="4"/>
      <c r="K5" s="5"/>
      <c r="L5" s="24" t="s">
        <v>103</v>
      </c>
      <c r="M5" s="24">
        <v>40.0</v>
      </c>
      <c r="N5" s="27">
        <f>ROUND(SUM(G23:G32),1)</f>
        <v>100</v>
      </c>
      <c r="O5" s="5"/>
      <c r="P5" s="5"/>
      <c r="Q5" s="5"/>
      <c r="R5" s="5"/>
      <c r="S5" s="5"/>
      <c r="T5" s="5"/>
      <c r="U5" s="5"/>
      <c r="V5" s="5"/>
      <c r="W5" s="5"/>
      <c r="X5" s="5"/>
      <c r="Y5" s="5"/>
      <c r="Z5" s="5"/>
    </row>
    <row r="6" ht="14.25" customHeight="1">
      <c r="A6" s="11" t="s">
        <v>109</v>
      </c>
      <c r="B6" s="4"/>
      <c r="C6" s="33">
        <v>46090.0</v>
      </c>
      <c r="D6" s="3"/>
      <c r="E6" s="11" t="s">
        <v>113</v>
      </c>
      <c r="F6" s="4"/>
      <c r="G6" s="18" t="s">
        <v>30</v>
      </c>
      <c r="H6" s="3"/>
      <c r="I6" s="3"/>
      <c r="J6" s="4"/>
      <c r="K6" s="5"/>
      <c r="L6" s="24" t="s">
        <v>118</v>
      </c>
      <c r="M6" s="24">
        <v>15.0</v>
      </c>
      <c r="N6" s="27">
        <f>ROUND(SUM(G33:G36),1)</f>
        <v>40</v>
      </c>
      <c r="O6" s="5"/>
      <c r="P6" s="5"/>
      <c r="Q6" s="5"/>
      <c r="R6" s="5"/>
      <c r="S6" s="5"/>
      <c r="T6" s="5"/>
      <c r="U6" s="5"/>
      <c r="V6" s="5"/>
      <c r="W6" s="5"/>
      <c r="X6" s="5"/>
      <c r="Y6" s="5"/>
      <c r="Z6" s="5"/>
    </row>
    <row r="7" ht="14.25" customHeight="1">
      <c r="A7" s="5"/>
      <c r="B7" s="5"/>
      <c r="C7" s="5"/>
      <c r="D7" s="5"/>
      <c r="E7" s="11" t="s">
        <v>119</v>
      </c>
      <c r="F7" s="4"/>
      <c r="G7" s="21"/>
      <c r="H7" s="3"/>
      <c r="I7" s="3"/>
      <c r="J7" s="4"/>
      <c r="K7" s="5"/>
      <c r="L7" s="24" t="s">
        <v>120</v>
      </c>
      <c r="M7" s="24">
        <v>5.0</v>
      </c>
      <c r="N7" s="27">
        <f>ROUND(SUM(G37:G38),1)</f>
        <v>20</v>
      </c>
      <c r="O7" s="5"/>
      <c r="P7" s="5"/>
      <c r="Q7" s="5"/>
      <c r="R7" s="5"/>
      <c r="S7" s="5"/>
      <c r="T7" s="5"/>
      <c r="U7" s="5"/>
      <c r="V7" s="5"/>
      <c r="W7" s="5"/>
      <c r="X7" s="5"/>
      <c r="Y7" s="5"/>
      <c r="Z7" s="5"/>
    </row>
    <row r="8" ht="33.75" customHeight="1">
      <c r="A8" s="34" t="s">
        <v>121</v>
      </c>
      <c r="B8" s="3"/>
      <c r="C8" s="3"/>
      <c r="D8" s="3"/>
      <c r="E8" s="3"/>
      <c r="F8" s="3"/>
      <c r="G8" s="3"/>
      <c r="H8" s="3"/>
      <c r="I8" s="3"/>
      <c r="J8" s="4"/>
      <c r="K8" s="5"/>
      <c r="L8" s="24" t="s">
        <v>122</v>
      </c>
      <c r="M8" s="24">
        <v>5.0</v>
      </c>
      <c r="N8" s="27">
        <f>ROUND(SUM(G39),1)</f>
        <v>10</v>
      </c>
      <c r="O8" s="5"/>
      <c r="P8" s="5"/>
      <c r="Q8" s="5"/>
      <c r="R8" s="5"/>
      <c r="S8" s="5"/>
      <c r="T8" s="5"/>
      <c r="U8" s="5"/>
      <c r="V8" s="5"/>
      <c r="W8" s="5"/>
      <c r="X8" s="5"/>
      <c r="Y8" s="5"/>
      <c r="Z8" s="5"/>
    </row>
    <row r="9" ht="42.0" customHeight="1">
      <c r="A9" s="5"/>
      <c r="B9" s="5"/>
      <c r="C9" s="5"/>
      <c r="D9" s="5"/>
      <c r="E9" s="5"/>
      <c r="F9" s="5"/>
      <c r="G9" s="5"/>
      <c r="H9" s="5"/>
      <c r="I9" s="5"/>
      <c r="J9" s="5"/>
      <c r="K9" s="5"/>
      <c r="L9" s="35" t="s">
        <v>123</v>
      </c>
      <c r="M9" s="36"/>
      <c r="N9" s="37">
        <f>SUM(N4:N8)</f>
        <v>240</v>
      </c>
      <c r="O9" s="5"/>
      <c r="P9" s="5"/>
      <c r="Q9" s="5"/>
      <c r="R9" s="5"/>
      <c r="S9" s="5"/>
      <c r="T9" s="5"/>
      <c r="U9" s="5"/>
      <c r="V9" s="5"/>
      <c r="W9" s="5"/>
      <c r="X9" s="5"/>
      <c r="Y9" s="5"/>
      <c r="Z9" s="5"/>
    </row>
    <row r="10" ht="14.25" customHeight="1">
      <c r="A10" s="38" t="s">
        <v>124</v>
      </c>
      <c r="B10" s="4"/>
      <c r="C10" s="38" t="s">
        <v>125</v>
      </c>
      <c r="D10" s="4"/>
      <c r="E10" s="38" t="s">
        <v>126</v>
      </c>
      <c r="F10" s="4"/>
      <c r="G10" s="38" t="s">
        <v>127</v>
      </c>
      <c r="H10" s="4"/>
      <c r="I10" s="39" t="s">
        <v>128</v>
      </c>
      <c r="J10" s="40"/>
      <c r="K10" s="5"/>
      <c r="L10" s="5"/>
      <c r="M10" s="5"/>
      <c r="N10" s="5"/>
      <c r="O10" s="5"/>
      <c r="P10" s="5"/>
      <c r="Q10" s="5"/>
      <c r="R10" s="5"/>
      <c r="S10" s="5"/>
      <c r="T10" s="5"/>
      <c r="U10" s="5"/>
      <c r="V10" s="5"/>
      <c r="W10" s="5"/>
      <c r="X10" s="5"/>
      <c r="Y10" s="5"/>
      <c r="Z10" s="5"/>
    </row>
    <row r="11" ht="36.0" customHeight="1">
      <c r="A11" s="41">
        <f>ROUND(SUM(G16:G39),1)</f>
        <v>240</v>
      </c>
      <c r="B11" s="4"/>
      <c r="C11" s="41">
        <f>ROUND(A11/10,2)</f>
        <v>24</v>
      </c>
      <c r="D11" s="4"/>
      <c r="E11" s="41">
        <f>COUNTIF(F16:F39,"&gt;=3")</f>
        <v>24</v>
      </c>
      <c r="F11" s="4"/>
      <c r="G11" s="41">
        <f>COUNTIF(J16:J39,"Thiếu minh chứng")</f>
        <v>0</v>
      </c>
      <c r="H11" s="4"/>
      <c r="I11" s="42"/>
      <c r="J11" s="43"/>
      <c r="K11" s="5"/>
      <c r="L11" s="5"/>
      <c r="M11" s="5"/>
      <c r="N11" s="5"/>
      <c r="O11" s="5"/>
      <c r="P11" s="5"/>
      <c r="Q11" s="5"/>
      <c r="R11" s="5"/>
      <c r="S11" s="5"/>
      <c r="T11" s="5"/>
      <c r="U11" s="5"/>
      <c r="V11" s="5"/>
      <c r="W11" s="5"/>
      <c r="X11" s="5"/>
      <c r="Y11" s="5"/>
      <c r="Z11" s="5"/>
    </row>
    <row r="12" ht="14.25" customHeight="1">
      <c r="A12" s="5"/>
      <c r="B12" s="5"/>
      <c r="C12" s="5"/>
      <c r="D12" s="5"/>
      <c r="E12" s="5"/>
      <c r="F12" s="5"/>
      <c r="G12" s="5"/>
      <c r="H12" s="5"/>
      <c r="I12" s="5"/>
      <c r="J12" s="5"/>
      <c r="K12" s="5"/>
      <c r="L12" s="5"/>
      <c r="M12" s="5"/>
      <c r="N12" s="5"/>
      <c r="O12" s="5"/>
      <c r="P12" s="5"/>
      <c r="Q12" s="5"/>
      <c r="R12" s="5"/>
      <c r="S12" s="5"/>
      <c r="T12" s="5"/>
      <c r="U12" s="5"/>
      <c r="V12" s="5"/>
      <c r="W12" s="5"/>
      <c r="X12" s="5"/>
      <c r="Y12" s="5"/>
      <c r="Z12" s="5"/>
    </row>
    <row r="13" ht="14.25" customHeight="1">
      <c r="A13" s="5"/>
      <c r="B13" s="5"/>
      <c r="C13" s="5"/>
      <c r="D13" s="5"/>
      <c r="E13" s="5"/>
      <c r="F13" s="5"/>
      <c r="G13" s="5"/>
      <c r="H13" s="5"/>
      <c r="I13" s="5"/>
      <c r="J13" s="5"/>
      <c r="K13" s="5"/>
      <c r="L13" s="5"/>
      <c r="M13" s="5"/>
      <c r="N13" s="5"/>
      <c r="O13" s="5"/>
      <c r="P13" s="5"/>
      <c r="Q13" s="5"/>
      <c r="R13" s="5"/>
      <c r="S13" s="5"/>
      <c r="T13" s="5"/>
      <c r="U13" s="5"/>
      <c r="V13" s="5"/>
      <c r="W13" s="5"/>
      <c r="X13" s="5"/>
      <c r="Y13" s="5"/>
      <c r="Z13" s="5"/>
    </row>
    <row r="14" ht="14.25" customHeight="1">
      <c r="A14" s="5"/>
      <c r="B14" s="5"/>
      <c r="C14" s="5"/>
      <c r="D14" s="5"/>
      <c r="E14" s="5"/>
      <c r="F14" s="5"/>
      <c r="G14" s="5"/>
      <c r="H14" s="5"/>
      <c r="I14" s="5"/>
      <c r="J14" s="5"/>
      <c r="K14" s="5"/>
      <c r="L14" s="5"/>
      <c r="M14" s="5"/>
      <c r="N14" s="5"/>
      <c r="O14" s="5"/>
      <c r="P14" s="5"/>
      <c r="Q14" s="5"/>
      <c r="R14" s="5"/>
      <c r="S14" s="5"/>
      <c r="T14" s="5"/>
      <c r="U14" s="5"/>
      <c r="V14" s="5"/>
      <c r="W14" s="5"/>
      <c r="X14" s="5"/>
      <c r="Y14" s="5"/>
      <c r="Z14" s="5"/>
    </row>
    <row r="15" ht="31.5" customHeight="1">
      <c r="A15" s="9" t="s">
        <v>7</v>
      </c>
      <c r="B15" s="9" t="s">
        <v>47</v>
      </c>
      <c r="C15" s="9" t="s">
        <v>129</v>
      </c>
      <c r="D15" s="9" t="s">
        <v>130</v>
      </c>
      <c r="E15" s="9" t="s">
        <v>48</v>
      </c>
      <c r="F15" s="9" t="s">
        <v>131</v>
      </c>
      <c r="G15" s="9" t="s">
        <v>132</v>
      </c>
      <c r="H15" s="9" t="s">
        <v>133</v>
      </c>
      <c r="I15" s="9" t="s">
        <v>134</v>
      </c>
      <c r="J15" s="9" t="s">
        <v>135</v>
      </c>
      <c r="K15" s="5"/>
      <c r="L15" s="5"/>
      <c r="M15" s="5"/>
      <c r="N15" s="5"/>
      <c r="O15" s="5"/>
      <c r="P15" s="5"/>
      <c r="Q15" s="5"/>
      <c r="R15" s="5"/>
      <c r="S15" s="5"/>
      <c r="T15" s="5"/>
      <c r="U15" s="5"/>
      <c r="V15" s="5"/>
      <c r="W15" s="5"/>
      <c r="X15" s="5"/>
      <c r="Y15" s="5"/>
      <c r="Z15" s="5"/>
    </row>
    <row r="16" ht="117.75" customHeight="1">
      <c r="A16" s="44">
        <v>1.0</v>
      </c>
      <c r="B16" s="45" t="s">
        <v>136</v>
      </c>
      <c r="C16" s="44" t="s">
        <v>137</v>
      </c>
      <c r="D16" s="44" t="s">
        <v>138</v>
      </c>
      <c r="E16" s="46">
        <v>10.0</v>
      </c>
      <c r="F16" s="47">
        <v>4.0</v>
      </c>
      <c r="G16" s="48">
        <f t="shared" ref="G16:G39" si="1">IF(F16="",0,E16*F16/4)</f>
        <v>10</v>
      </c>
      <c r="H16" s="49" t="s">
        <v>139</v>
      </c>
      <c r="I16" s="50" t="s">
        <v>140</v>
      </c>
      <c r="J16" s="44" t="str">
        <f t="shared" ref="J16:J39" si="2">IF(AND(F16&gt;=3,LEN(H16)=0),"Thiếu minh chứng","")</f>
        <v/>
      </c>
      <c r="K16" s="5"/>
      <c r="L16" s="5"/>
      <c r="M16" s="5"/>
      <c r="N16" s="5"/>
      <c r="O16" s="5"/>
      <c r="P16" s="5"/>
      <c r="Q16" s="5"/>
      <c r="R16" s="5"/>
      <c r="S16" s="5"/>
      <c r="T16" s="5"/>
      <c r="U16" s="5"/>
      <c r="V16" s="5"/>
      <c r="W16" s="5"/>
      <c r="X16" s="5"/>
      <c r="Y16" s="5"/>
      <c r="Z16" s="5"/>
    </row>
    <row r="17" ht="117.75" customHeight="1">
      <c r="A17" s="44">
        <v>2.0</v>
      </c>
      <c r="B17" s="45" t="s">
        <v>136</v>
      </c>
      <c r="C17" s="44" t="s">
        <v>141</v>
      </c>
      <c r="D17" s="44" t="s">
        <v>142</v>
      </c>
      <c r="E17" s="46">
        <v>10.0</v>
      </c>
      <c r="F17" s="47">
        <v>4.0</v>
      </c>
      <c r="G17" s="48">
        <f t="shared" si="1"/>
        <v>10</v>
      </c>
      <c r="H17" s="49" t="s">
        <v>143</v>
      </c>
      <c r="I17" s="50" t="s">
        <v>144</v>
      </c>
      <c r="J17" s="44" t="str">
        <f t="shared" si="2"/>
        <v/>
      </c>
      <c r="K17" s="5"/>
      <c r="L17" s="5"/>
      <c r="M17" s="5"/>
      <c r="N17" s="5"/>
      <c r="O17" s="5"/>
      <c r="P17" s="5"/>
      <c r="Q17" s="5"/>
      <c r="R17" s="5"/>
      <c r="S17" s="5"/>
      <c r="T17" s="5"/>
      <c r="U17" s="5"/>
      <c r="V17" s="5"/>
      <c r="W17" s="5"/>
      <c r="X17" s="5"/>
      <c r="Y17" s="5"/>
      <c r="Z17" s="5"/>
    </row>
    <row r="18" ht="117.75" customHeight="1">
      <c r="A18" s="44">
        <v>3.0</v>
      </c>
      <c r="B18" s="45" t="s">
        <v>136</v>
      </c>
      <c r="C18" s="44" t="s">
        <v>145</v>
      </c>
      <c r="D18" s="44" t="s">
        <v>146</v>
      </c>
      <c r="E18" s="46">
        <v>10.0</v>
      </c>
      <c r="F18" s="47">
        <v>4.0</v>
      </c>
      <c r="G18" s="48">
        <f t="shared" si="1"/>
        <v>10</v>
      </c>
      <c r="H18" s="49" t="s">
        <v>147</v>
      </c>
      <c r="I18" s="50" t="s">
        <v>148</v>
      </c>
      <c r="J18" s="44" t="str">
        <f t="shared" si="2"/>
        <v/>
      </c>
      <c r="K18" s="5"/>
      <c r="L18" s="5"/>
      <c r="M18" s="5"/>
      <c r="N18" s="5"/>
      <c r="O18" s="5"/>
      <c r="P18" s="5"/>
      <c r="Q18" s="5"/>
      <c r="R18" s="5"/>
      <c r="S18" s="5"/>
      <c r="T18" s="5"/>
      <c r="U18" s="5"/>
      <c r="V18" s="5"/>
      <c r="W18" s="5"/>
      <c r="X18" s="5"/>
      <c r="Y18" s="5"/>
      <c r="Z18" s="5"/>
    </row>
    <row r="19" ht="117.75" customHeight="1">
      <c r="A19" s="44">
        <v>4.0</v>
      </c>
      <c r="B19" s="45" t="s">
        <v>136</v>
      </c>
      <c r="C19" s="44" t="s">
        <v>149</v>
      </c>
      <c r="D19" s="44" t="s">
        <v>150</v>
      </c>
      <c r="E19" s="46">
        <v>10.0</v>
      </c>
      <c r="F19" s="47">
        <v>4.0</v>
      </c>
      <c r="G19" s="48">
        <f t="shared" si="1"/>
        <v>10</v>
      </c>
      <c r="H19" s="49" t="s">
        <v>151</v>
      </c>
      <c r="I19" s="50" t="s">
        <v>152</v>
      </c>
      <c r="J19" s="44" t="str">
        <f t="shared" si="2"/>
        <v/>
      </c>
      <c r="K19" s="5"/>
      <c r="L19" s="5"/>
      <c r="M19" s="5"/>
      <c r="N19" s="5"/>
      <c r="O19" s="5"/>
      <c r="P19" s="5"/>
      <c r="Q19" s="5"/>
      <c r="R19" s="5"/>
      <c r="S19" s="5"/>
      <c r="T19" s="5"/>
      <c r="U19" s="5"/>
      <c r="V19" s="5"/>
      <c r="W19" s="5"/>
      <c r="X19" s="5"/>
      <c r="Y19" s="5"/>
      <c r="Z19" s="5"/>
    </row>
    <row r="20" ht="117.75" customHeight="1">
      <c r="A20" s="44">
        <v>5.0</v>
      </c>
      <c r="B20" s="45" t="s">
        <v>136</v>
      </c>
      <c r="C20" s="44" t="s">
        <v>153</v>
      </c>
      <c r="D20" s="44" t="s">
        <v>154</v>
      </c>
      <c r="E20" s="46">
        <v>10.0</v>
      </c>
      <c r="F20" s="47">
        <v>4.0</v>
      </c>
      <c r="G20" s="48">
        <f t="shared" si="1"/>
        <v>10</v>
      </c>
      <c r="H20" s="49" t="s">
        <v>155</v>
      </c>
      <c r="I20" s="50" t="s">
        <v>156</v>
      </c>
      <c r="J20" s="44" t="str">
        <f t="shared" si="2"/>
        <v/>
      </c>
      <c r="K20" s="5"/>
      <c r="L20" s="5"/>
      <c r="M20" s="5"/>
      <c r="N20" s="5"/>
      <c r="O20" s="5"/>
      <c r="P20" s="5"/>
      <c r="Q20" s="5"/>
      <c r="R20" s="5"/>
      <c r="S20" s="5"/>
      <c r="T20" s="5"/>
      <c r="U20" s="5"/>
      <c r="V20" s="5"/>
      <c r="W20" s="5"/>
      <c r="X20" s="5"/>
      <c r="Y20" s="5"/>
      <c r="Z20" s="5"/>
    </row>
    <row r="21" ht="117.75" customHeight="1">
      <c r="A21" s="44">
        <v>6.0</v>
      </c>
      <c r="B21" s="45" t="s">
        <v>136</v>
      </c>
      <c r="C21" s="44" t="s">
        <v>157</v>
      </c>
      <c r="D21" s="44" t="s">
        <v>158</v>
      </c>
      <c r="E21" s="46">
        <v>10.0</v>
      </c>
      <c r="F21" s="47">
        <v>4.0</v>
      </c>
      <c r="G21" s="48">
        <f t="shared" si="1"/>
        <v>10</v>
      </c>
      <c r="H21" s="49" t="s">
        <v>159</v>
      </c>
      <c r="I21" s="50" t="s">
        <v>160</v>
      </c>
      <c r="J21" s="44" t="str">
        <f t="shared" si="2"/>
        <v/>
      </c>
      <c r="K21" s="5"/>
      <c r="L21" s="5"/>
      <c r="M21" s="5"/>
      <c r="N21" s="5"/>
      <c r="O21" s="5"/>
      <c r="P21" s="5"/>
      <c r="Q21" s="5"/>
      <c r="R21" s="5"/>
      <c r="S21" s="5"/>
      <c r="T21" s="5"/>
      <c r="U21" s="5"/>
      <c r="V21" s="5"/>
      <c r="W21" s="5"/>
      <c r="X21" s="5"/>
      <c r="Y21" s="5"/>
      <c r="Z21" s="5"/>
    </row>
    <row r="22" ht="117.75" customHeight="1">
      <c r="A22" s="44">
        <v>7.0</v>
      </c>
      <c r="B22" s="45" t="s">
        <v>136</v>
      </c>
      <c r="C22" s="44" t="s">
        <v>161</v>
      </c>
      <c r="D22" s="44" t="s">
        <v>162</v>
      </c>
      <c r="E22" s="46">
        <v>10.0</v>
      </c>
      <c r="F22" s="47">
        <v>4.0</v>
      </c>
      <c r="G22" s="48">
        <f t="shared" si="1"/>
        <v>10</v>
      </c>
      <c r="H22" s="49" t="s">
        <v>163</v>
      </c>
      <c r="I22" s="50" t="s">
        <v>164</v>
      </c>
      <c r="J22" s="44" t="str">
        <f t="shared" si="2"/>
        <v/>
      </c>
      <c r="K22" s="5"/>
      <c r="L22" s="5"/>
      <c r="M22" s="5"/>
      <c r="N22" s="5"/>
      <c r="O22" s="5"/>
      <c r="P22" s="5"/>
      <c r="Q22" s="5"/>
      <c r="R22" s="5"/>
      <c r="S22" s="5"/>
      <c r="T22" s="5"/>
      <c r="U22" s="5"/>
      <c r="V22" s="5"/>
      <c r="W22" s="5"/>
      <c r="X22" s="5"/>
      <c r="Y22" s="5"/>
      <c r="Z22" s="5"/>
    </row>
    <row r="23" ht="117.75" customHeight="1">
      <c r="A23" s="44">
        <v>8.0</v>
      </c>
      <c r="B23" s="51" t="s">
        <v>165</v>
      </c>
      <c r="C23" s="44" t="s">
        <v>166</v>
      </c>
      <c r="D23" s="44" t="s">
        <v>167</v>
      </c>
      <c r="E23" s="46">
        <v>10.0</v>
      </c>
      <c r="F23" s="47">
        <v>4.0</v>
      </c>
      <c r="G23" s="48">
        <f t="shared" si="1"/>
        <v>10</v>
      </c>
      <c r="H23" s="49" t="s">
        <v>168</v>
      </c>
      <c r="I23" s="50" t="s">
        <v>169</v>
      </c>
      <c r="J23" s="44" t="str">
        <f t="shared" si="2"/>
        <v/>
      </c>
      <c r="K23" s="5"/>
      <c r="L23" s="5"/>
      <c r="M23" s="5"/>
      <c r="N23" s="5"/>
      <c r="O23" s="5"/>
      <c r="P23" s="5"/>
      <c r="Q23" s="5"/>
      <c r="R23" s="5"/>
      <c r="S23" s="5"/>
      <c r="T23" s="5"/>
      <c r="U23" s="5"/>
      <c r="V23" s="5"/>
      <c r="W23" s="5"/>
      <c r="X23" s="5"/>
      <c r="Y23" s="5"/>
      <c r="Z23" s="5"/>
    </row>
    <row r="24" ht="117.75" customHeight="1">
      <c r="A24" s="44">
        <v>9.0</v>
      </c>
      <c r="B24" s="51" t="s">
        <v>165</v>
      </c>
      <c r="C24" s="44" t="s">
        <v>170</v>
      </c>
      <c r="D24" s="44" t="s">
        <v>171</v>
      </c>
      <c r="E24" s="46">
        <v>10.0</v>
      </c>
      <c r="F24" s="47">
        <v>4.0</v>
      </c>
      <c r="G24" s="48">
        <f t="shared" si="1"/>
        <v>10</v>
      </c>
      <c r="H24" s="49" t="s">
        <v>172</v>
      </c>
      <c r="I24" s="50" t="s">
        <v>173</v>
      </c>
      <c r="J24" s="44" t="str">
        <f t="shared" si="2"/>
        <v/>
      </c>
      <c r="K24" s="5"/>
      <c r="L24" s="5"/>
      <c r="M24" s="5"/>
      <c r="N24" s="5"/>
      <c r="O24" s="5"/>
      <c r="P24" s="5"/>
      <c r="Q24" s="5"/>
      <c r="R24" s="5"/>
      <c r="S24" s="5"/>
      <c r="T24" s="5"/>
      <c r="U24" s="5"/>
      <c r="V24" s="5"/>
      <c r="W24" s="5"/>
      <c r="X24" s="5"/>
      <c r="Y24" s="5"/>
      <c r="Z24" s="5"/>
    </row>
    <row r="25" ht="117.75" customHeight="1">
      <c r="A25" s="44">
        <v>10.0</v>
      </c>
      <c r="B25" s="51" t="s">
        <v>165</v>
      </c>
      <c r="C25" s="44" t="s">
        <v>174</v>
      </c>
      <c r="D25" s="44" t="s">
        <v>175</v>
      </c>
      <c r="E25" s="46">
        <v>10.0</v>
      </c>
      <c r="F25" s="47">
        <v>4.0</v>
      </c>
      <c r="G25" s="48">
        <f t="shared" si="1"/>
        <v>10</v>
      </c>
      <c r="H25" s="49" t="s">
        <v>176</v>
      </c>
      <c r="I25" s="50" t="s">
        <v>177</v>
      </c>
      <c r="J25" s="44" t="str">
        <f t="shared" si="2"/>
        <v/>
      </c>
      <c r="K25" s="5"/>
      <c r="L25" s="5"/>
      <c r="M25" s="5"/>
      <c r="N25" s="5"/>
      <c r="O25" s="5"/>
      <c r="P25" s="5"/>
      <c r="Q25" s="5"/>
      <c r="R25" s="5"/>
      <c r="S25" s="5"/>
      <c r="T25" s="5"/>
      <c r="U25" s="5"/>
      <c r="V25" s="5"/>
      <c r="W25" s="5"/>
      <c r="X25" s="5"/>
      <c r="Y25" s="5"/>
      <c r="Z25" s="5"/>
    </row>
    <row r="26" ht="117.75" customHeight="1">
      <c r="A26" s="44">
        <v>11.0</v>
      </c>
      <c r="B26" s="51" t="s">
        <v>165</v>
      </c>
      <c r="C26" s="44" t="s">
        <v>178</v>
      </c>
      <c r="D26" s="44" t="s">
        <v>179</v>
      </c>
      <c r="E26" s="46">
        <v>10.0</v>
      </c>
      <c r="F26" s="47">
        <v>4.0</v>
      </c>
      <c r="G26" s="48">
        <f t="shared" si="1"/>
        <v>10</v>
      </c>
      <c r="H26" s="49" t="s">
        <v>180</v>
      </c>
      <c r="I26" s="50" t="s">
        <v>181</v>
      </c>
      <c r="J26" s="44" t="str">
        <f t="shared" si="2"/>
        <v/>
      </c>
      <c r="K26" s="5"/>
      <c r="L26" s="5"/>
      <c r="M26" s="5"/>
      <c r="N26" s="5"/>
      <c r="O26" s="5"/>
      <c r="P26" s="5"/>
      <c r="Q26" s="5"/>
      <c r="R26" s="5"/>
      <c r="S26" s="5"/>
      <c r="T26" s="5"/>
      <c r="U26" s="5"/>
      <c r="V26" s="5"/>
      <c r="W26" s="5"/>
      <c r="X26" s="5"/>
      <c r="Y26" s="5"/>
      <c r="Z26" s="5"/>
    </row>
    <row r="27" ht="117.75" customHeight="1">
      <c r="A27" s="44">
        <v>12.0</v>
      </c>
      <c r="B27" s="51" t="s">
        <v>165</v>
      </c>
      <c r="C27" s="44" t="s">
        <v>182</v>
      </c>
      <c r="D27" s="44" t="s">
        <v>183</v>
      </c>
      <c r="E27" s="46">
        <v>10.0</v>
      </c>
      <c r="F27" s="47">
        <v>4.0</v>
      </c>
      <c r="G27" s="48">
        <f t="shared" si="1"/>
        <v>10</v>
      </c>
      <c r="H27" s="49" t="s">
        <v>184</v>
      </c>
      <c r="I27" s="50" t="s">
        <v>185</v>
      </c>
      <c r="J27" s="44" t="str">
        <f t="shared" si="2"/>
        <v/>
      </c>
      <c r="K27" s="5"/>
      <c r="L27" s="5"/>
      <c r="M27" s="5"/>
      <c r="N27" s="5"/>
      <c r="O27" s="5"/>
      <c r="P27" s="5"/>
      <c r="Q27" s="5"/>
      <c r="R27" s="5"/>
      <c r="S27" s="5"/>
      <c r="T27" s="5"/>
      <c r="U27" s="5"/>
      <c r="V27" s="5"/>
      <c r="W27" s="5"/>
      <c r="X27" s="5"/>
      <c r="Y27" s="5"/>
      <c r="Z27" s="5"/>
    </row>
    <row r="28" ht="117.75" customHeight="1">
      <c r="A28" s="44">
        <v>13.0</v>
      </c>
      <c r="B28" s="51" t="s">
        <v>165</v>
      </c>
      <c r="C28" s="44" t="s">
        <v>186</v>
      </c>
      <c r="D28" s="44" t="s">
        <v>187</v>
      </c>
      <c r="E28" s="46">
        <v>10.0</v>
      </c>
      <c r="F28" s="47">
        <v>4.0</v>
      </c>
      <c r="G28" s="48">
        <f t="shared" si="1"/>
        <v>10</v>
      </c>
      <c r="H28" s="49" t="s">
        <v>188</v>
      </c>
      <c r="I28" s="50" t="s">
        <v>189</v>
      </c>
      <c r="J28" s="44" t="str">
        <f t="shared" si="2"/>
        <v/>
      </c>
      <c r="K28" s="5"/>
      <c r="L28" s="5"/>
      <c r="M28" s="5"/>
      <c r="N28" s="5"/>
      <c r="O28" s="5"/>
      <c r="P28" s="5"/>
      <c r="Q28" s="5"/>
      <c r="R28" s="5"/>
      <c r="S28" s="5"/>
      <c r="T28" s="5"/>
      <c r="U28" s="5"/>
      <c r="V28" s="5"/>
      <c r="W28" s="5"/>
      <c r="X28" s="5"/>
      <c r="Y28" s="5"/>
      <c r="Z28" s="5"/>
    </row>
    <row r="29" ht="117.75" customHeight="1">
      <c r="A29" s="44">
        <v>14.0</v>
      </c>
      <c r="B29" s="51" t="s">
        <v>165</v>
      </c>
      <c r="C29" s="44" t="s">
        <v>190</v>
      </c>
      <c r="D29" s="44" t="s">
        <v>191</v>
      </c>
      <c r="E29" s="46">
        <v>10.0</v>
      </c>
      <c r="F29" s="47">
        <v>4.0</v>
      </c>
      <c r="G29" s="48">
        <f t="shared" si="1"/>
        <v>10</v>
      </c>
      <c r="H29" s="49" t="s">
        <v>192</v>
      </c>
      <c r="I29" s="50" t="s">
        <v>193</v>
      </c>
      <c r="J29" s="44" t="str">
        <f t="shared" si="2"/>
        <v/>
      </c>
      <c r="K29" s="5"/>
      <c r="L29" s="5"/>
      <c r="M29" s="5"/>
      <c r="N29" s="5"/>
      <c r="O29" s="5"/>
      <c r="P29" s="5"/>
      <c r="Q29" s="5"/>
      <c r="R29" s="5"/>
      <c r="S29" s="5"/>
      <c r="T29" s="5"/>
      <c r="U29" s="5"/>
      <c r="V29" s="5"/>
      <c r="W29" s="5"/>
      <c r="X29" s="5"/>
      <c r="Y29" s="5"/>
      <c r="Z29" s="5"/>
    </row>
    <row r="30" ht="117.75" customHeight="1">
      <c r="A30" s="44">
        <v>15.0</v>
      </c>
      <c r="B30" s="51" t="s">
        <v>165</v>
      </c>
      <c r="C30" s="44" t="s">
        <v>194</v>
      </c>
      <c r="D30" s="44" t="s">
        <v>195</v>
      </c>
      <c r="E30" s="46">
        <v>10.0</v>
      </c>
      <c r="F30" s="47">
        <v>4.0</v>
      </c>
      <c r="G30" s="48">
        <f t="shared" si="1"/>
        <v>10</v>
      </c>
      <c r="H30" s="49" t="s">
        <v>196</v>
      </c>
      <c r="I30" s="50" t="s">
        <v>197</v>
      </c>
      <c r="J30" s="44" t="str">
        <f t="shared" si="2"/>
        <v/>
      </c>
      <c r="K30" s="5"/>
      <c r="L30" s="5"/>
      <c r="M30" s="5"/>
      <c r="N30" s="5"/>
      <c r="O30" s="5"/>
      <c r="P30" s="5"/>
      <c r="Q30" s="5"/>
      <c r="R30" s="5"/>
      <c r="S30" s="5"/>
      <c r="T30" s="5"/>
      <c r="U30" s="5"/>
      <c r="V30" s="5"/>
      <c r="W30" s="5"/>
      <c r="X30" s="5"/>
      <c r="Y30" s="5"/>
      <c r="Z30" s="5"/>
    </row>
    <row r="31" ht="117.75" customHeight="1">
      <c r="A31" s="44">
        <v>16.0</v>
      </c>
      <c r="B31" s="51" t="s">
        <v>165</v>
      </c>
      <c r="C31" s="44" t="s">
        <v>198</v>
      </c>
      <c r="D31" s="44" t="s">
        <v>199</v>
      </c>
      <c r="E31" s="46">
        <v>10.0</v>
      </c>
      <c r="F31" s="47">
        <v>4.0</v>
      </c>
      <c r="G31" s="48">
        <f t="shared" si="1"/>
        <v>10</v>
      </c>
      <c r="H31" s="49" t="s">
        <v>200</v>
      </c>
      <c r="I31" s="50" t="s">
        <v>201</v>
      </c>
      <c r="J31" s="44" t="str">
        <f t="shared" si="2"/>
        <v/>
      </c>
      <c r="K31" s="5"/>
      <c r="L31" s="5"/>
      <c r="M31" s="5"/>
      <c r="N31" s="5"/>
      <c r="O31" s="5"/>
      <c r="P31" s="5"/>
      <c r="Q31" s="5"/>
      <c r="R31" s="5"/>
      <c r="S31" s="5"/>
      <c r="T31" s="5"/>
      <c r="U31" s="5"/>
      <c r="V31" s="5"/>
      <c r="W31" s="5"/>
      <c r="X31" s="5"/>
      <c r="Y31" s="5"/>
      <c r="Z31" s="5"/>
    </row>
    <row r="32" ht="117.75" customHeight="1">
      <c r="A32" s="44">
        <v>17.0</v>
      </c>
      <c r="B32" s="51" t="s">
        <v>165</v>
      </c>
      <c r="C32" s="44" t="s">
        <v>202</v>
      </c>
      <c r="D32" s="44" t="s">
        <v>203</v>
      </c>
      <c r="E32" s="46">
        <v>10.0</v>
      </c>
      <c r="F32" s="47">
        <v>4.0</v>
      </c>
      <c r="G32" s="48">
        <f t="shared" si="1"/>
        <v>10</v>
      </c>
      <c r="H32" s="49" t="s">
        <v>204</v>
      </c>
      <c r="I32" s="50" t="s">
        <v>205</v>
      </c>
      <c r="J32" s="44" t="str">
        <f t="shared" si="2"/>
        <v/>
      </c>
      <c r="K32" s="5"/>
      <c r="L32" s="5"/>
      <c r="M32" s="5"/>
      <c r="N32" s="5"/>
      <c r="O32" s="5"/>
      <c r="P32" s="5"/>
      <c r="Q32" s="5"/>
      <c r="R32" s="5"/>
      <c r="S32" s="5"/>
      <c r="T32" s="5"/>
      <c r="U32" s="5"/>
      <c r="V32" s="5"/>
      <c r="W32" s="5"/>
      <c r="X32" s="5"/>
      <c r="Y32" s="5"/>
      <c r="Z32" s="5"/>
    </row>
    <row r="33" ht="117.75" customHeight="1">
      <c r="A33" s="44">
        <v>18.0</v>
      </c>
      <c r="B33" s="52" t="s">
        <v>206</v>
      </c>
      <c r="C33" s="44" t="s">
        <v>207</v>
      </c>
      <c r="D33" s="44" t="s">
        <v>208</v>
      </c>
      <c r="E33" s="46">
        <v>10.0</v>
      </c>
      <c r="F33" s="47">
        <v>4.0</v>
      </c>
      <c r="G33" s="48">
        <f t="shared" si="1"/>
        <v>10</v>
      </c>
      <c r="H33" s="49" t="s">
        <v>209</v>
      </c>
      <c r="I33" s="50" t="s">
        <v>210</v>
      </c>
      <c r="J33" s="44" t="str">
        <f t="shared" si="2"/>
        <v/>
      </c>
      <c r="K33" s="5"/>
      <c r="L33" s="5"/>
      <c r="M33" s="5"/>
      <c r="N33" s="5"/>
      <c r="O33" s="5"/>
      <c r="P33" s="5"/>
      <c r="Q33" s="5"/>
      <c r="R33" s="5"/>
      <c r="S33" s="5"/>
      <c r="T33" s="5"/>
      <c r="U33" s="5"/>
      <c r="V33" s="5"/>
      <c r="W33" s="5"/>
      <c r="X33" s="5"/>
      <c r="Y33" s="5"/>
      <c r="Z33" s="5"/>
    </row>
    <row r="34" ht="117.75" customHeight="1">
      <c r="A34" s="44">
        <v>19.0</v>
      </c>
      <c r="B34" s="52" t="s">
        <v>206</v>
      </c>
      <c r="C34" s="44" t="s">
        <v>211</v>
      </c>
      <c r="D34" s="44" t="s">
        <v>212</v>
      </c>
      <c r="E34" s="46">
        <v>10.0</v>
      </c>
      <c r="F34" s="47">
        <v>4.0</v>
      </c>
      <c r="G34" s="48">
        <f t="shared" si="1"/>
        <v>10</v>
      </c>
      <c r="H34" s="49" t="s">
        <v>213</v>
      </c>
      <c r="I34" s="50" t="s">
        <v>214</v>
      </c>
      <c r="J34" s="44" t="str">
        <f t="shared" si="2"/>
        <v/>
      </c>
      <c r="K34" s="5"/>
      <c r="L34" s="5"/>
      <c r="M34" s="5"/>
      <c r="N34" s="5"/>
      <c r="O34" s="5"/>
      <c r="P34" s="5"/>
      <c r="Q34" s="5"/>
      <c r="R34" s="5"/>
      <c r="S34" s="5"/>
      <c r="T34" s="5"/>
      <c r="U34" s="5"/>
      <c r="V34" s="5"/>
      <c r="W34" s="5"/>
      <c r="X34" s="5"/>
      <c r="Y34" s="5"/>
      <c r="Z34" s="5"/>
    </row>
    <row r="35" ht="117.75" customHeight="1">
      <c r="A35" s="44">
        <v>20.0</v>
      </c>
      <c r="B35" s="52" t="s">
        <v>206</v>
      </c>
      <c r="C35" s="44" t="s">
        <v>215</v>
      </c>
      <c r="D35" s="44" t="s">
        <v>216</v>
      </c>
      <c r="E35" s="46">
        <v>10.0</v>
      </c>
      <c r="F35" s="47">
        <v>4.0</v>
      </c>
      <c r="G35" s="48">
        <f t="shared" si="1"/>
        <v>10</v>
      </c>
      <c r="H35" s="49" t="s">
        <v>217</v>
      </c>
      <c r="I35" s="50" t="s">
        <v>218</v>
      </c>
      <c r="J35" s="44" t="str">
        <f t="shared" si="2"/>
        <v/>
      </c>
      <c r="K35" s="5"/>
      <c r="L35" s="5"/>
      <c r="M35" s="5"/>
      <c r="N35" s="5"/>
      <c r="O35" s="5"/>
      <c r="P35" s="5"/>
      <c r="Q35" s="5"/>
      <c r="R35" s="5"/>
      <c r="S35" s="5"/>
      <c r="T35" s="5"/>
      <c r="U35" s="5"/>
      <c r="V35" s="5"/>
      <c r="W35" s="5"/>
      <c r="X35" s="5"/>
      <c r="Y35" s="5"/>
      <c r="Z35" s="5"/>
    </row>
    <row r="36" ht="117.75" customHeight="1">
      <c r="A36" s="44">
        <v>21.0</v>
      </c>
      <c r="B36" s="52" t="s">
        <v>206</v>
      </c>
      <c r="C36" s="44" t="s">
        <v>219</v>
      </c>
      <c r="D36" s="44" t="s">
        <v>220</v>
      </c>
      <c r="E36" s="46">
        <v>10.0</v>
      </c>
      <c r="F36" s="47">
        <v>4.0</v>
      </c>
      <c r="G36" s="48">
        <f t="shared" si="1"/>
        <v>10</v>
      </c>
      <c r="H36" s="49" t="s">
        <v>221</v>
      </c>
      <c r="I36" s="50" t="s">
        <v>222</v>
      </c>
      <c r="J36" s="44" t="str">
        <f t="shared" si="2"/>
        <v/>
      </c>
      <c r="K36" s="5"/>
      <c r="L36" s="5"/>
      <c r="M36" s="5"/>
      <c r="N36" s="5"/>
      <c r="O36" s="5"/>
      <c r="P36" s="5"/>
      <c r="Q36" s="5"/>
      <c r="R36" s="5"/>
      <c r="S36" s="5"/>
      <c r="T36" s="5"/>
      <c r="U36" s="5"/>
      <c r="V36" s="5"/>
      <c r="W36" s="5"/>
      <c r="X36" s="5"/>
      <c r="Y36" s="5"/>
      <c r="Z36" s="5"/>
    </row>
    <row r="37" ht="117.75" customHeight="1">
      <c r="A37" s="44">
        <v>22.0</v>
      </c>
      <c r="B37" s="53" t="s">
        <v>223</v>
      </c>
      <c r="C37" s="44" t="s">
        <v>224</v>
      </c>
      <c r="D37" s="44" t="s">
        <v>225</v>
      </c>
      <c r="E37" s="46">
        <v>10.0</v>
      </c>
      <c r="F37" s="47">
        <v>4.0</v>
      </c>
      <c r="G37" s="48">
        <f t="shared" si="1"/>
        <v>10</v>
      </c>
      <c r="H37" s="49" t="s">
        <v>226</v>
      </c>
      <c r="I37" s="50" t="s">
        <v>227</v>
      </c>
      <c r="J37" s="44" t="str">
        <f t="shared" si="2"/>
        <v/>
      </c>
      <c r="K37" s="5"/>
      <c r="L37" s="5"/>
      <c r="M37" s="5"/>
      <c r="N37" s="5"/>
      <c r="O37" s="5"/>
      <c r="P37" s="5"/>
      <c r="Q37" s="5"/>
      <c r="R37" s="5"/>
      <c r="S37" s="5"/>
      <c r="T37" s="5"/>
      <c r="U37" s="5"/>
      <c r="V37" s="5"/>
      <c r="W37" s="5"/>
      <c r="X37" s="5"/>
      <c r="Y37" s="5"/>
      <c r="Z37" s="5"/>
    </row>
    <row r="38" ht="117.75" customHeight="1">
      <c r="A38" s="44">
        <v>23.0</v>
      </c>
      <c r="B38" s="53" t="s">
        <v>223</v>
      </c>
      <c r="C38" s="44" t="s">
        <v>228</v>
      </c>
      <c r="D38" s="44" t="s">
        <v>229</v>
      </c>
      <c r="E38" s="46">
        <v>10.0</v>
      </c>
      <c r="F38" s="47">
        <v>4.0</v>
      </c>
      <c r="G38" s="48">
        <f t="shared" si="1"/>
        <v>10</v>
      </c>
      <c r="H38" s="49" t="s">
        <v>230</v>
      </c>
      <c r="I38" s="50" t="s">
        <v>231</v>
      </c>
      <c r="J38" s="44" t="str">
        <f t="shared" si="2"/>
        <v/>
      </c>
      <c r="K38" s="5"/>
      <c r="L38" s="5"/>
      <c r="M38" s="5"/>
      <c r="N38" s="5"/>
      <c r="O38" s="5"/>
      <c r="P38" s="5"/>
      <c r="Q38" s="5"/>
      <c r="R38" s="5"/>
      <c r="S38" s="5"/>
      <c r="T38" s="5"/>
      <c r="U38" s="5"/>
      <c r="V38" s="5"/>
      <c r="W38" s="5"/>
      <c r="X38" s="5"/>
      <c r="Y38" s="5"/>
      <c r="Z38" s="5"/>
    </row>
    <row r="39" ht="117.75" customHeight="1">
      <c r="A39" s="44">
        <v>24.0</v>
      </c>
      <c r="B39" s="54" t="s">
        <v>232</v>
      </c>
      <c r="C39" s="44" t="s">
        <v>233</v>
      </c>
      <c r="D39" s="44" t="s">
        <v>234</v>
      </c>
      <c r="E39" s="46">
        <v>10.0</v>
      </c>
      <c r="F39" s="47">
        <v>4.0</v>
      </c>
      <c r="G39" s="48">
        <f t="shared" si="1"/>
        <v>10</v>
      </c>
      <c r="H39" s="49" t="s">
        <v>151</v>
      </c>
      <c r="I39" s="50" t="s">
        <v>235</v>
      </c>
      <c r="J39" s="44" t="str">
        <f t="shared" si="2"/>
        <v/>
      </c>
      <c r="K39" s="5"/>
      <c r="L39" s="5"/>
      <c r="M39" s="5"/>
      <c r="N39" s="5"/>
      <c r="O39" s="5"/>
      <c r="P39" s="5"/>
      <c r="Q39" s="5"/>
      <c r="R39" s="5"/>
      <c r="S39" s="5"/>
      <c r="T39" s="5"/>
      <c r="U39" s="5"/>
      <c r="V39" s="5"/>
      <c r="W39" s="5"/>
      <c r="X39" s="5"/>
      <c r="Y39" s="5"/>
      <c r="Z39" s="5"/>
    </row>
    <row r="40" ht="14.25" customHeight="1">
      <c r="A40" s="55" t="s">
        <v>123</v>
      </c>
      <c r="B40" s="56"/>
      <c r="C40" s="56"/>
      <c r="D40" s="36"/>
      <c r="E40" s="57">
        <f>SUM(E16:E39)</f>
        <v>240</v>
      </c>
      <c r="F40" s="57"/>
      <c r="G40" s="57">
        <f>ROUND(SUM(G16:G39),1)</f>
        <v>240</v>
      </c>
      <c r="H40" s="57"/>
      <c r="I40" s="57"/>
      <c r="J40" s="57"/>
      <c r="K40" s="5"/>
      <c r="L40" s="5"/>
      <c r="M40" s="5"/>
      <c r="N40" s="5"/>
      <c r="O40" s="5"/>
      <c r="P40" s="5"/>
      <c r="Q40" s="5"/>
      <c r="R40" s="5"/>
      <c r="S40" s="5"/>
      <c r="T40" s="5"/>
      <c r="U40" s="5"/>
      <c r="V40" s="5"/>
      <c r="W40" s="5"/>
      <c r="X40" s="5"/>
      <c r="Y40" s="5"/>
      <c r="Z40" s="5"/>
    </row>
    <row r="41" ht="14.2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4.2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4.2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4.2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4.2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4.2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4.2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4.2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4.2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4.2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4.2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4.2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4.2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4.2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4.2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4.2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4.2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4.2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4.2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4.2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4.2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4.2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4.2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4.2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4.2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4.2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4.2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4.2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4.2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4.2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4.2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4.2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4.2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4.2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4.2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4.2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4.2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4.2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4.2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4.2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4.2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4.2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4.2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4.2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4.2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4.2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4.2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4.2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4.2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4.2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4.2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4.2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4.2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4.2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4.2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4.2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4.2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4.2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4.2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4.2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4.2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4.2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4.2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4.2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4.2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4.2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4.2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4.2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4.2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4.2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4.2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4.2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4.2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4.2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4.2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4.2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4.2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4.2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4.2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4.2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4.2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4.2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4.2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4.2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4.2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4.2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4.2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4.2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4.2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4.2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4.2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4.2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4.2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4.2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4.2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4.2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4.2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4.2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4.2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4.2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4.2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4.2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4.2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4.2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4.2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4.2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4.2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4.2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4.2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4.2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4.2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4.2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4.2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4.2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4.2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4.2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4.2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4.2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4.2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4.2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4.2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4.2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4.2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4.2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4.2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4.2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4.2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4.2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4.2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4.2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4.2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4.2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4.2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4.2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4.2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4.2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4.2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4.2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4.2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4.2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4.2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4.2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4.2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4.2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4.2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4.2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4.2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4.2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4.2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4.2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4.2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4.2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4.2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4.2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4.2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4.2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4.2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4.2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4.2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4.2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4.2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4.2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4.2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4.2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4.2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4.2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4.2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4.2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4.2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4.2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4.2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4.2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4.2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4.2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4.2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4.2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4.2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4.2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4.2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4.2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4.2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4.2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4.2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4.2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4.2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4.2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4.2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4.2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4.2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4.2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4.2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4.2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4.2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4.2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4.2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4.2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4.2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4.2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4.2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4.2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31">
    <mergeCell ref="E4:F4"/>
    <mergeCell ref="G4:J4"/>
    <mergeCell ref="A1:J1"/>
    <mergeCell ref="A3:B3"/>
    <mergeCell ref="C3:D3"/>
    <mergeCell ref="E3:F3"/>
    <mergeCell ref="G3:J3"/>
    <mergeCell ref="A4:B4"/>
    <mergeCell ref="C4:D4"/>
    <mergeCell ref="A5:B5"/>
    <mergeCell ref="C5:D5"/>
    <mergeCell ref="E5:F5"/>
    <mergeCell ref="G5:J5"/>
    <mergeCell ref="A6:B6"/>
    <mergeCell ref="C6:D6"/>
    <mergeCell ref="G6:J6"/>
    <mergeCell ref="E10:F10"/>
    <mergeCell ref="G10:H10"/>
    <mergeCell ref="I10:J11"/>
    <mergeCell ref="A11:B11"/>
    <mergeCell ref="C11:D11"/>
    <mergeCell ref="E11:F11"/>
    <mergeCell ref="G11:H11"/>
    <mergeCell ref="A40:D40"/>
    <mergeCell ref="E6:F6"/>
    <mergeCell ref="E7:F7"/>
    <mergeCell ref="G7:J7"/>
    <mergeCell ref="A8:J8"/>
    <mergeCell ref="L9:M9"/>
    <mergeCell ref="A10:B10"/>
    <mergeCell ref="C10:D10"/>
  </mergeCells>
  <conditionalFormatting sqref="J16:J39">
    <cfRule type="expression" dxfId="0" priority="1">
      <formula>J16="Thiếu minh chứng"</formula>
    </cfRule>
  </conditionalFormatting>
  <dataValidations>
    <dataValidation type="list" allowBlank="1" sqref="F16:F39">
      <formula1>"0,1,2,3,4"</formula1>
    </dataValidation>
  </dataValidations>
  <hyperlinks>
    <hyperlink r:id="rId1" ref="G3"/>
    <hyperlink r:id="rId2" ref="G5"/>
    <hyperlink r:id="rId3" ref="G6"/>
    <hyperlink r:id="rId4" location="L19-L40" ref="H16"/>
    <hyperlink r:id="rId5" location="L87-L93" ref="H17"/>
    <hyperlink r:id="rId6" location="L10-L39" ref="H18"/>
    <hyperlink r:id="rId7" location="L1-L17" ref="H19"/>
    <hyperlink r:id="rId8" location="L177-L228" ref="H20"/>
    <hyperlink r:id="rId9" location="L11-L14" ref="H21"/>
    <hyperlink r:id="rId10" location="L1864-L1864" ref="H22"/>
    <hyperlink r:id="rId11" location="L84-L110" ref="H23"/>
    <hyperlink r:id="rId12" location="L103-L120" ref="H24"/>
    <hyperlink r:id="rId13" location="L41-L117" ref="H25"/>
    <hyperlink r:id="rId14" location="L545-L610" ref="H26"/>
    <hyperlink r:id="rId15" location="L35-L111" ref="H27"/>
    <hyperlink r:id="rId16" location="L35-L50" ref="H28"/>
    <hyperlink r:id="rId17" location="L2600-L2690" ref="H29"/>
    <hyperlink r:id="rId18" location="L15-L27" ref="H30"/>
    <hyperlink r:id="rId19" location="L38-L151" ref="H31"/>
    <hyperlink r:id="rId20" location="L7-L47" ref="H32"/>
    <hyperlink r:id="rId21" location="L1-L5" ref="H33"/>
    <hyperlink r:id="rId22" location="L38-L87" ref="H34"/>
    <hyperlink r:id="rId23" location="L3565-L3743" ref="H35"/>
    <hyperlink r:id="rId24" location="L1-L80" ref="H36"/>
    <hyperlink r:id="rId25" location="L53-L80" ref="H37"/>
    <hyperlink r:id="rId26" location="L10-L26" ref="H38"/>
    <hyperlink r:id="rId27" location="L1-L17" ref="H39"/>
  </hyperlinks>
  <printOptions/>
  <pageMargins bottom="0.75" footer="0.0" header="0.0" left="0.7" right="0.7" top="0.75"/>
  <pageSetup orientation="landscape"/>
  <drawing r:id="rId2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0"/>
    <col customWidth="1" min="2" max="2" width="14.0"/>
    <col customWidth="1" min="3" max="3" width="24.0"/>
    <col customWidth="1" min="4" max="4" width="22.0"/>
    <col customWidth="1" min="5" max="5" width="14.0"/>
    <col customWidth="1" min="6" max="6" width="42.0"/>
    <col customWidth="1" min="7" max="7" width="32.0"/>
    <col customWidth="1" min="8" max="8" width="26.0"/>
  </cols>
  <sheetData>
    <row r="1" ht="26.25" customHeight="1">
      <c r="A1" s="1" t="s">
        <v>0</v>
      </c>
      <c r="B1" s="3"/>
      <c r="C1" s="3"/>
      <c r="D1" s="3"/>
      <c r="E1" s="3"/>
      <c r="F1" s="3"/>
      <c r="G1" s="3"/>
      <c r="H1" s="4"/>
      <c r="I1" s="5"/>
      <c r="J1" s="5"/>
      <c r="K1" s="5"/>
      <c r="L1" s="5"/>
      <c r="M1" s="5"/>
      <c r="N1" s="5"/>
      <c r="O1" s="5"/>
      <c r="P1" s="5"/>
      <c r="Q1" s="5"/>
      <c r="R1" s="5"/>
      <c r="S1" s="5"/>
      <c r="T1" s="5"/>
      <c r="U1" s="5"/>
      <c r="V1" s="5"/>
      <c r="W1" s="5"/>
      <c r="X1" s="5"/>
      <c r="Y1" s="5"/>
      <c r="Z1" s="5"/>
    </row>
    <row r="2" ht="14.25" customHeight="1">
      <c r="A2" s="5"/>
      <c r="B2" s="5"/>
      <c r="C2" s="5"/>
      <c r="D2" s="5"/>
      <c r="E2" s="5"/>
      <c r="F2" s="5"/>
      <c r="G2" s="5"/>
      <c r="H2" s="5"/>
      <c r="I2" s="5"/>
      <c r="J2" s="5"/>
      <c r="K2" s="5"/>
      <c r="L2" s="5"/>
      <c r="M2" s="5"/>
      <c r="N2" s="5"/>
      <c r="O2" s="5"/>
      <c r="P2" s="5"/>
      <c r="Q2" s="5"/>
      <c r="R2" s="5"/>
      <c r="S2" s="5"/>
      <c r="T2" s="5"/>
      <c r="U2" s="5"/>
      <c r="V2" s="5"/>
      <c r="W2" s="5"/>
      <c r="X2" s="5"/>
      <c r="Y2" s="5"/>
      <c r="Z2" s="5"/>
    </row>
    <row r="3" ht="14.25" customHeight="1">
      <c r="A3" s="7" t="s">
        <v>4</v>
      </c>
      <c r="B3" s="3"/>
      <c r="C3" s="3"/>
      <c r="D3" s="3"/>
      <c r="E3" s="3"/>
      <c r="F3" s="3"/>
      <c r="G3" s="3"/>
      <c r="H3" s="4"/>
      <c r="I3" s="5"/>
      <c r="J3" s="5"/>
      <c r="K3" s="5"/>
      <c r="L3" s="5"/>
      <c r="M3" s="5"/>
      <c r="N3" s="5"/>
      <c r="O3" s="5"/>
      <c r="P3" s="5"/>
      <c r="Q3" s="5"/>
      <c r="R3" s="5"/>
      <c r="S3" s="5"/>
      <c r="T3" s="5"/>
      <c r="U3" s="5"/>
      <c r="V3" s="5"/>
      <c r="W3" s="5"/>
      <c r="X3" s="5"/>
      <c r="Y3" s="5"/>
      <c r="Z3" s="5"/>
    </row>
    <row r="4" ht="14.25" customHeight="1">
      <c r="A4" s="5"/>
      <c r="B4" s="5"/>
      <c r="C4" s="5"/>
      <c r="D4" s="5"/>
      <c r="E4" s="5"/>
      <c r="F4" s="5"/>
      <c r="G4" s="5"/>
      <c r="H4" s="5"/>
      <c r="I4" s="5"/>
      <c r="J4" s="5"/>
      <c r="K4" s="5"/>
      <c r="L4" s="5"/>
      <c r="M4" s="5"/>
      <c r="N4" s="5"/>
      <c r="O4" s="5"/>
      <c r="P4" s="5"/>
      <c r="Q4" s="5"/>
      <c r="R4" s="5"/>
      <c r="S4" s="5"/>
      <c r="T4" s="5"/>
      <c r="U4" s="5"/>
      <c r="V4" s="5"/>
      <c r="W4" s="5"/>
      <c r="X4" s="5"/>
      <c r="Y4" s="5"/>
      <c r="Z4" s="5"/>
    </row>
    <row r="5" ht="14.25" customHeight="1">
      <c r="A5" s="9" t="s">
        <v>7</v>
      </c>
      <c r="B5" s="9" t="s">
        <v>9</v>
      </c>
      <c r="C5" s="9" t="s">
        <v>10</v>
      </c>
      <c r="D5" s="9" t="s">
        <v>11</v>
      </c>
      <c r="E5" s="9" t="s">
        <v>12</v>
      </c>
      <c r="F5" s="9" t="s">
        <v>14</v>
      </c>
      <c r="G5" s="9" t="s">
        <v>15</v>
      </c>
      <c r="H5" s="9" t="s">
        <v>16</v>
      </c>
      <c r="I5" s="5"/>
      <c r="J5" s="5"/>
      <c r="K5" s="5"/>
      <c r="L5" s="5"/>
      <c r="M5" s="5"/>
      <c r="N5" s="5"/>
      <c r="O5" s="5"/>
      <c r="P5" s="5"/>
      <c r="Q5" s="5"/>
      <c r="R5" s="5"/>
      <c r="S5" s="5"/>
      <c r="T5" s="5"/>
      <c r="U5" s="5"/>
      <c r="V5" s="5"/>
      <c r="W5" s="5"/>
      <c r="X5" s="5"/>
      <c r="Y5" s="5"/>
      <c r="Z5" s="5"/>
    </row>
    <row r="6" ht="49.5" customHeight="1">
      <c r="A6" s="12">
        <v>1.0</v>
      </c>
      <c r="B6" s="13"/>
      <c r="C6" s="13"/>
      <c r="D6" s="13"/>
      <c r="E6" s="15"/>
      <c r="F6" s="13"/>
      <c r="G6" s="13"/>
      <c r="H6" s="13"/>
      <c r="I6" s="5"/>
      <c r="J6" s="5"/>
      <c r="K6" s="5"/>
      <c r="L6" s="5"/>
      <c r="M6" s="5"/>
      <c r="N6" s="5"/>
      <c r="O6" s="5"/>
      <c r="P6" s="5"/>
      <c r="Q6" s="5"/>
      <c r="R6" s="5"/>
      <c r="S6" s="5"/>
      <c r="T6" s="5"/>
      <c r="U6" s="5"/>
      <c r="V6" s="5"/>
      <c r="W6" s="5"/>
      <c r="X6" s="5"/>
      <c r="Y6" s="5"/>
      <c r="Z6" s="5"/>
    </row>
    <row r="7" ht="49.5" customHeight="1">
      <c r="A7" s="12">
        <v>2.0</v>
      </c>
      <c r="B7" s="13"/>
      <c r="C7" s="13"/>
      <c r="D7" s="13"/>
      <c r="E7" s="15"/>
      <c r="F7" s="13"/>
      <c r="G7" s="13"/>
      <c r="H7" s="13"/>
      <c r="I7" s="5"/>
      <c r="J7" s="5"/>
      <c r="K7" s="5"/>
      <c r="L7" s="5"/>
      <c r="M7" s="5"/>
      <c r="N7" s="5"/>
      <c r="O7" s="5"/>
      <c r="P7" s="5"/>
      <c r="Q7" s="5"/>
      <c r="R7" s="5"/>
      <c r="S7" s="5"/>
      <c r="T7" s="5"/>
      <c r="U7" s="5"/>
      <c r="V7" s="5"/>
      <c r="W7" s="5"/>
      <c r="X7" s="5"/>
      <c r="Y7" s="5"/>
      <c r="Z7" s="5"/>
    </row>
    <row r="8" ht="49.5" customHeight="1">
      <c r="A8" s="12">
        <v>3.0</v>
      </c>
      <c r="B8" s="13"/>
      <c r="C8" s="13"/>
      <c r="D8" s="13"/>
      <c r="E8" s="15"/>
      <c r="F8" s="13"/>
      <c r="G8" s="13"/>
      <c r="H8" s="13"/>
      <c r="I8" s="5"/>
      <c r="J8" s="5"/>
      <c r="K8" s="5"/>
      <c r="L8" s="5"/>
      <c r="M8" s="5"/>
      <c r="N8" s="5"/>
      <c r="O8" s="5"/>
      <c r="P8" s="5"/>
      <c r="Q8" s="5"/>
      <c r="R8" s="5"/>
      <c r="S8" s="5"/>
      <c r="T8" s="5"/>
      <c r="U8" s="5"/>
      <c r="V8" s="5"/>
      <c r="W8" s="5"/>
      <c r="X8" s="5"/>
      <c r="Y8" s="5"/>
      <c r="Z8" s="5"/>
    </row>
    <row r="9" ht="49.5" customHeight="1">
      <c r="A9" s="12">
        <v>4.0</v>
      </c>
      <c r="B9" s="13"/>
      <c r="C9" s="13"/>
      <c r="D9" s="13"/>
      <c r="E9" s="15"/>
      <c r="F9" s="13"/>
      <c r="G9" s="13"/>
      <c r="H9" s="13"/>
      <c r="I9" s="5"/>
      <c r="J9" s="5"/>
      <c r="K9" s="5"/>
      <c r="L9" s="5"/>
      <c r="M9" s="5"/>
      <c r="N9" s="5"/>
      <c r="O9" s="5"/>
      <c r="P9" s="5"/>
      <c r="Q9" s="5"/>
      <c r="R9" s="5"/>
      <c r="S9" s="5"/>
      <c r="T9" s="5"/>
      <c r="U9" s="5"/>
      <c r="V9" s="5"/>
      <c r="W9" s="5"/>
      <c r="X9" s="5"/>
      <c r="Y9" s="5"/>
      <c r="Z9" s="5"/>
    </row>
    <row r="10" ht="49.5" customHeight="1">
      <c r="A10" s="12">
        <v>5.0</v>
      </c>
      <c r="B10" s="13"/>
      <c r="C10" s="13"/>
      <c r="D10" s="13"/>
      <c r="E10" s="15"/>
      <c r="F10" s="13"/>
      <c r="G10" s="13"/>
      <c r="H10" s="13"/>
      <c r="I10" s="5"/>
      <c r="J10" s="5"/>
      <c r="K10" s="5"/>
      <c r="L10" s="5"/>
      <c r="M10" s="5"/>
      <c r="N10" s="5"/>
      <c r="O10" s="5"/>
      <c r="P10" s="5"/>
      <c r="Q10" s="5"/>
      <c r="R10" s="5"/>
      <c r="S10" s="5"/>
      <c r="T10" s="5"/>
      <c r="U10" s="5"/>
      <c r="V10" s="5"/>
      <c r="W10" s="5"/>
      <c r="X10" s="5"/>
      <c r="Y10" s="5"/>
      <c r="Z10" s="5"/>
    </row>
    <row r="11" ht="49.5" customHeight="1">
      <c r="A11" s="12">
        <v>6.0</v>
      </c>
      <c r="B11" s="13"/>
      <c r="C11" s="13"/>
      <c r="D11" s="13"/>
      <c r="E11" s="15"/>
      <c r="F11" s="13"/>
      <c r="G11" s="13"/>
      <c r="H11" s="13"/>
      <c r="I11" s="5"/>
      <c r="J11" s="5"/>
      <c r="K11" s="5"/>
      <c r="L11" s="5"/>
      <c r="M11" s="5"/>
      <c r="N11" s="5"/>
      <c r="O11" s="5"/>
      <c r="P11" s="5"/>
      <c r="Q11" s="5"/>
      <c r="R11" s="5"/>
      <c r="S11" s="5"/>
      <c r="T11" s="5"/>
      <c r="U11" s="5"/>
      <c r="V11" s="5"/>
      <c r="W11" s="5"/>
      <c r="X11" s="5"/>
      <c r="Y11" s="5"/>
      <c r="Z11" s="5"/>
    </row>
    <row r="12" ht="49.5" customHeight="1">
      <c r="A12" s="12">
        <v>7.0</v>
      </c>
      <c r="B12" s="13"/>
      <c r="C12" s="13"/>
      <c r="D12" s="13"/>
      <c r="E12" s="15"/>
      <c r="F12" s="13"/>
      <c r="G12" s="13"/>
      <c r="H12" s="13"/>
      <c r="I12" s="5"/>
      <c r="J12" s="5"/>
      <c r="K12" s="5"/>
      <c r="L12" s="5"/>
      <c r="M12" s="5"/>
      <c r="N12" s="5"/>
      <c r="O12" s="5"/>
      <c r="P12" s="5"/>
      <c r="Q12" s="5"/>
      <c r="R12" s="5"/>
      <c r="S12" s="5"/>
      <c r="T12" s="5"/>
      <c r="U12" s="5"/>
      <c r="V12" s="5"/>
      <c r="W12" s="5"/>
      <c r="X12" s="5"/>
      <c r="Y12" s="5"/>
      <c r="Z12" s="5"/>
    </row>
    <row r="13" ht="49.5" customHeight="1">
      <c r="A13" s="12">
        <v>8.0</v>
      </c>
      <c r="B13" s="13"/>
      <c r="C13" s="13"/>
      <c r="D13" s="13"/>
      <c r="E13" s="15"/>
      <c r="F13" s="13"/>
      <c r="G13" s="13"/>
      <c r="H13" s="13"/>
      <c r="I13" s="5"/>
      <c r="J13" s="5"/>
      <c r="K13" s="5"/>
      <c r="L13" s="5"/>
      <c r="M13" s="5"/>
      <c r="N13" s="5"/>
      <c r="O13" s="5"/>
      <c r="P13" s="5"/>
      <c r="Q13" s="5"/>
      <c r="R13" s="5"/>
      <c r="S13" s="5"/>
      <c r="T13" s="5"/>
      <c r="U13" s="5"/>
      <c r="V13" s="5"/>
      <c r="W13" s="5"/>
      <c r="X13" s="5"/>
      <c r="Y13" s="5"/>
      <c r="Z13" s="5"/>
    </row>
    <row r="14" ht="49.5" customHeight="1">
      <c r="A14" s="12">
        <v>9.0</v>
      </c>
      <c r="B14" s="13"/>
      <c r="C14" s="13"/>
      <c r="D14" s="13"/>
      <c r="E14" s="15"/>
      <c r="F14" s="13"/>
      <c r="G14" s="13"/>
      <c r="H14" s="13"/>
      <c r="I14" s="5"/>
      <c r="J14" s="5"/>
      <c r="K14" s="5"/>
      <c r="L14" s="5"/>
      <c r="M14" s="5"/>
      <c r="N14" s="5"/>
      <c r="O14" s="5"/>
      <c r="P14" s="5"/>
      <c r="Q14" s="5"/>
      <c r="R14" s="5"/>
      <c r="S14" s="5"/>
      <c r="T14" s="5"/>
      <c r="U14" s="5"/>
      <c r="V14" s="5"/>
      <c r="W14" s="5"/>
      <c r="X14" s="5"/>
      <c r="Y14" s="5"/>
      <c r="Z14" s="5"/>
    </row>
    <row r="15" ht="49.5" customHeight="1">
      <c r="A15" s="12">
        <v>10.0</v>
      </c>
      <c r="B15" s="13"/>
      <c r="C15" s="13"/>
      <c r="D15" s="13"/>
      <c r="E15" s="15"/>
      <c r="F15" s="13"/>
      <c r="G15" s="13"/>
      <c r="H15" s="13"/>
      <c r="I15" s="5"/>
      <c r="J15" s="5"/>
      <c r="K15" s="5"/>
      <c r="L15" s="5"/>
      <c r="M15" s="5"/>
      <c r="N15" s="5"/>
      <c r="O15" s="5"/>
      <c r="P15" s="5"/>
      <c r="Q15" s="5"/>
      <c r="R15" s="5"/>
      <c r="S15" s="5"/>
      <c r="T15" s="5"/>
      <c r="U15" s="5"/>
      <c r="V15" s="5"/>
      <c r="W15" s="5"/>
      <c r="X15" s="5"/>
      <c r="Y15" s="5"/>
      <c r="Z15" s="5"/>
    </row>
    <row r="16" ht="14.25" customHeight="1">
      <c r="A16" s="20" t="s">
        <v>65</v>
      </c>
      <c r="B16" s="22"/>
      <c r="C16" s="22"/>
      <c r="D16" s="23"/>
      <c r="E16" s="25">
        <f>SUM(E6:E15)</f>
        <v>0</v>
      </c>
      <c r="F16" s="20" t="str">
        <f>IF(ABS(E16-1)&lt;0.0001,"OK – Tổng 100%","CẢNH BÁO – Tổng đóng góp phải bằng 100%")</f>
        <v>CẢNH BÁO – Tổng đóng góp phải bằng 100%</v>
      </c>
      <c r="G16" s="22"/>
      <c r="H16" s="23"/>
      <c r="I16" s="5"/>
      <c r="J16" s="5"/>
      <c r="K16" s="5"/>
      <c r="L16" s="5"/>
      <c r="M16" s="5"/>
      <c r="N16" s="5"/>
      <c r="O16" s="5"/>
      <c r="P16" s="5"/>
      <c r="Q16" s="5"/>
      <c r="R16" s="5"/>
      <c r="S16" s="5"/>
      <c r="T16" s="5"/>
      <c r="U16" s="5"/>
      <c r="V16" s="5"/>
      <c r="W16" s="5"/>
      <c r="X16" s="5"/>
      <c r="Y16" s="5"/>
      <c r="Z16" s="5"/>
    </row>
    <row r="17" ht="14.25" customHeight="1">
      <c r="A17" s="5"/>
      <c r="B17" s="5"/>
      <c r="C17" s="5"/>
      <c r="D17" s="5"/>
      <c r="E17" s="5"/>
      <c r="F17" s="5"/>
      <c r="G17" s="5"/>
      <c r="H17" s="5"/>
      <c r="I17" s="5"/>
      <c r="J17" s="5"/>
      <c r="K17" s="5"/>
      <c r="L17" s="5"/>
      <c r="M17" s="5"/>
      <c r="N17" s="5"/>
      <c r="O17" s="5"/>
      <c r="P17" s="5"/>
      <c r="Q17" s="5"/>
      <c r="R17" s="5"/>
      <c r="S17" s="5"/>
      <c r="T17" s="5"/>
      <c r="U17" s="5"/>
      <c r="V17" s="5"/>
      <c r="W17" s="5"/>
      <c r="X17" s="5"/>
      <c r="Y17" s="5"/>
      <c r="Z17" s="5"/>
    </row>
    <row r="18" ht="14.25" customHeight="1">
      <c r="A18" s="5"/>
      <c r="B18" s="5"/>
      <c r="C18" s="5"/>
      <c r="D18" s="5"/>
      <c r="E18" s="5"/>
      <c r="F18" s="5"/>
      <c r="G18" s="5"/>
      <c r="H18" s="5"/>
      <c r="I18" s="5"/>
      <c r="J18" s="5"/>
      <c r="K18" s="5"/>
      <c r="L18" s="5"/>
      <c r="M18" s="5"/>
      <c r="N18" s="5"/>
      <c r="O18" s="5"/>
      <c r="P18" s="5"/>
      <c r="Q18" s="5"/>
      <c r="R18" s="5"/>
      <c r="S18" s="5"/>
      <c r="T18" s="5"/>
      <c r="U18" s="5"/>
      <c r="V18" s="5"/>
      <c r="W18" s="5"/>
      <c r="X18" s="5"/>
      <c r="Y18" s="5"/>
      <c r="Z18" s="5"/>
    </row>
    <row r="19" ht="14.25" customHeight="1">
      <c r="A19" s="5"/>
      <c r="B19" s="5"/>
      <c r="C19" s="5"/>
      <c r="D19" s="5"/>
      <c r="E19" s="5"/>
      <c r="F19" s="5"/>
      <c r="G19" s="5"/>
      <c r="H19" s="5"/>
      <c r="I19" s="5"/>
      <c r="J19" s="5"/>
      <c r="K19" s="5"/>
      <c r="L19" s="5"/>
      <c r="M19" s="5"/>
      <c r="N19" s="5"/>
      <c r="O19" s="5"/>
      <c r="P19" s="5"/>
      <c r="Q19" s="5"/>
      <c r="R19" s="5"/>
      <c r="S19" s="5"/>
      <c r="T19" s="5"/>
      <c r="U19" s="5"/>
      <c r="V19" s="5"/>
      <c r="W19" s="5"/>
      <c r="X19" s="5"/>
      <c r="Y19" s="5"/>
      <c r="Z19" s="5"/>
    </row>
    <row r="20" ht="14.25" customHeight="1">
      <c r="A20" s="5"/>
      <c r="B20" s="5"/>
      <c r="C20" s="5"/>
      <c r="D20" s="5"/>
      <c r="E20" s="5"/>
      <c r="F20" s="5"/>
      <c r="G20" s="5"/>
      <c r="H20" s="5"/>
      <c r="I20" s="5"/>
      <c r="J20" s="5"/>
      <c r="K20" s="5"/>
      <c r="L20" s="5"/>
      <c r="M20" s="5"/>
      <c r="N20" s="5"/>
      <c r="O20" s="5"/>
      <c r="P20" s="5"/>
      <c r="Q20" s="5"/>
      <c r="R20" s="5"/>
      <c r="S20" s="5"/>
      <c r="T20" s="5"/>
      <c r="U20" s="5"/>
      <c r="V20" s="5"/>
      <c r="W20" s="5"/>
      <c r="X20" s="5"/>
      <c r="Y20" s="5"/>
      <c r="Z20" s="5"/>
    </row>
    <row r="21" ht="14.2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4.2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4.2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4.2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4.2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4.2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4.2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4.2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4.2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4.2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4.2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4.2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4.2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4.2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4.2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4.2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4.2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4.2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4.2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4.2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4.2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4.2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4.2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4.2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4.2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4.2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4.2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4.2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4.2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4.2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4.2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4.2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4.2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4.2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4.2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4.2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4.2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4.2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4.2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4.2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4.2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4.2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4.2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4.2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4.2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4.2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4.2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4.2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4.2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4.2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4.2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4.2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4.2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4.2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4.2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4.2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4.2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4.2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4.2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4.2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4.2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4.2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4.2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4.2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4.2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4.2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4.2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4.2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4.2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4.2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4.2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4.2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4.2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4.2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4.2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4.2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4.2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4.2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4.2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4.2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4.2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4.2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4.2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4.2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4.2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4.2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4.2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4.2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4.2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4.2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4.2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4.2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4.2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4.2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4.2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4.2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4.2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4.2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4.2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4.2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4.2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4.2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4.2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4.2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4.2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4.2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4.2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4.2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4.2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4.2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4.2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4.2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4.2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4.2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4.2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4.2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4.2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4.2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4.2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4.2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4.2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4.2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4.2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4.2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4.2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4.2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4.2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4.2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4.2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4.2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4.2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4.2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4.2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4.2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4.2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4.2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4.2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4.2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4.2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4.2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4.2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4.2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4.2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4.2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4.2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4.2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4.2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4.2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4.2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4.2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4.2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4.2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4.2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4.2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4.2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4.2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4.2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4.2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4.2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4.2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4.2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4.2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4.2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4.2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4.2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4.2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4.2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4.2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4.2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4.2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4.2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4.2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4.2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4.2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4.2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4.2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4.2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4.2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4.2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4.2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4.2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4.2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4.2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4.2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4.2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4.2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4.2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4.2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4.2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4.2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4.2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4.2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4.2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4.2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4.2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4.2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4.2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4.2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4.2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4.2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4">
    <mergeCell ref="A1:H1"/>
    <mergeCell ref="A3:H3"/>
    <mergeCell ref="A16:D16"/>
    <mergeCell ref="F16:H16"/>
  </mergeCells>
  <conditionalFormatting sqref="F16:H16">
    <cfRule type="expression" dxfId="0" priority="1">
      <formula>E16&lt;&gt;1</formula>
    </cfRule>
  </conditionalFormatting>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0"/>
    <col customWidth="1" min="2" max="2" width="34.0"/>
    <col customWidth="1" min="3" max="3" width="60.0"/>
    <col customWidth="1" min="4" max="4" width="14.0"/>
    <col customWidth="1" min="5" max="5" width="30.0"/>
    <col customWidth="1" min="6" max="6" width="22.0"/>
    <col customWidth="1" min="7" max="7" width="30.0"/>
  </cols>
  <sheetData>
    <row r="1" ht="14.25" customHeight="1">
      <c r="A1" s="1" t="s">
        <v>1</v>
      </c>
      <c r="B1" s="3"/>
      <c r="C1" s="3"/>
      <c r="D1" s="3"/>
      <c r="E1" s="3"/>
      <c r="F1" s="3"/>
      <c r="G1" s="4"/>
      <c r="H1" s="5"/>
      <c r="I1" s="5"/>
      <c r="J1" s="5"/>
      <c r="K1" s="5"/>
      <c r="L1" s="5"/>
      <c r="M1" s="5"/>
      <c r="N1" s="5"/>
      <c r="O1" s="5"/>
      <c r="P1" s="5"/>
      <c r="Q1" s="5"/>
      <c r="R1" s="5"/>
      <c r="S1" s="5"/>
      <c r="T1" s="5"/>
      <c r="U1" s="5"/>
      <c r="V1" s="5"/>
      <c r="W1" s="5"/>
      <c r="X1" s="5"/>
      <c r="Y1" s="5"/>
      <c r="Z1" s="5"/>
    </row>
    <row r="2" ht="14.25" customHeight="1">
      <c r="A2" s="5"/>
      <c r="B2" s="5"/>
      <c r="C2" s="5"/>
      <c r="D2" s="5"/>
      <c r="E2" s="5"/>
      <c r="F2" s="5"/>
      <c r="G2" s="5"/>
      <c r="H2" s="5"/>
      <c r="I2" s="5"/>
      <c r="J2" s="5"/>
      <c r="K2" s="5"/>
      <c r="L2" s="5"/>
      <c r="M2" s="5"/>
      <c r="N2" s="5"/>
      <c r="O2" s="5"/>
      <c r="P2" s="5"/>
      <c r="Q2" s="5"/>
      <c r="R2" s="5"/>
      <c r="S2" s="5"/>
      <c r="T2" s="5"/>
      <c r="U2" s="5"/>
      <c r="V2" s="5"/>
      <c r="W2" s="5"/>
      <c r="X2" s="5"/>
      <c r="Y2" s="5"/>
      <c r="Z2" s="5"/>
    </row>
    <row r="3" ht="14.25" customHeight="1">
      <c r="A3" s="7" t="s">
        <v>5</v>
      </c>
      <c r="B3" s="3"/>
      <c r="C3" s="3"/>
      <c r="D3" s="3"/>
      <c r="E3" s="3"/>
      <c r="F3" s="3"/>
      <c r="G3" s="4"/>
      <c r="H3" s="5"/>
      <c r="I3" s="5"/>
      <c r="J3" s="5"/>
      <c r="K3" s="5"/>
      <c r="L3" s="5"/>
      <c r="M3" s="5"/>
      <c r="N3" s="5"/>
      <c r="O3" s="5"/>
      <c r="P3" s="5"/>
      <c r="Q3" s="5"/>
      <c r="R3" s="5"/>
      <c r="S3" s="5"/>
      <c r="T3" s="5"/>
      <c r="U3" s="5"/>
      <c r="V3" s="5"/>
      <c r="W3" s="5"/>
      <c r="X3" s="5"/>
      <c r="Y3" s="5"/>
      <c r="Z3" s="5"/>
    </row>
    <row r="4" ht="14.25" customHeight="1">
      <c r="A4" s="5"/>
      <c r="B4" s="5"/>
      <c r="C4" s="5"/>
      <c r="D4" s="5"/>
      <c r="E4" s="5"/>
      <c r="F4" s="5"/>
      <c r="G4" s="5"/>
      <c r="H4" s="5"/>
      <c r="I4" s="5"/>
      <c r="J4" s="5"/>
      <c r="K4" s="5"/>
      <c r="L4" s="5"/>
      <c r="M4" s="5"/>
      <c r="N4" s="5"/>
      <c r="O4" s="5"/>
      <c r="P4" s="5"/>
      <c r="Q4" s="5"/>
      <c r="R4" s="5"/>
      <c r="S4" s="5"/>
      <c r="T4" s="5"/>
      <c r="U4" s="5"/>
      <c r="V4" s="5"/>
      <c r="W4" s="5"/>
      <c r="X4" s="5"/>
      <c r="Y4" s="5"/>
      <c r="Z4" s="5"/>
    </row>
    <row r="5" ht="14.25" customHeight="1">
      <c r="A5" s="9" t="s">
        <v>17</v>
      </c>
      <c r="B5" s="9" t="s">
        <v>18</v>
      </c>
      <c r="C5" s="9" t="s">
        <v>19</v>
      </c>
      <c r="D5" s="9" t="s">
        <v>20</v>
      </c>
      <c r="E5" s="9" t="s">
        <v>15</v>
      </c>
      <c r="F5" s="9" t="s">
        <v>21</v>
      </c>
      <c r="G5" s="9" t="s">
        <v>16</v>
      </c>
      <c r="H5" s="5"/>
      <c r="I5" s="5"/>
      <c r="J5" s="5"/>
      <c r="K5" s="5"/>
      <c r="L5" s="5"/>
      <c r="M5" s="5"/>
      <c r="N5" s="5"/>
      <c r="O5" s="5"/>
      <c r="P5" s="5"/>
      <c r="Q5" s="5"/>
      <c r="R5" s="5"/>
      <c r="S5" s="5"/>
      <c r="T5" s="5"/>
      <c r="U5" s="5"/>
      <c r="V5" s="5"/>
      <c r="W5" s="5"/>
      <c r="X5" s="5"/>
      <c r="Y5" s="5"/>
      <c r="Z5" s="5"/>
    </row>
    <row r="6" ht="51.75" customHeight="1">
      <c r="A6" s="12">
        <v>1.0</v>
      </c>
      <c r="B6" s="12" t="s">
        <v>25</v>
      </c>
      <c r="C6" s="12" t="s">
        <v>27</v>
      </c>
      <c r="D6" s="16"/>
      <c r="E6" s="13"/>
      <c r="F6" s="13"/>
      <c r="G6" s="17" t="s">
        <v>31</v>
      </c>
      <c r="H6" s="5"/>
      <c r="I6" s="5"/>
      <c r="J6" s="5"/>
      <c r="K6" s="5"/>
      <c r="L6" s="5"/>
      <c r="M6" s="5"/>
      <c r="N6" s="5"/>
      <c r="O6" s="5"/>
      <c r="P6" s="5"/>
      <c r="Q6" s="5"/>
      <c r="R6" s="5"/>
      <c r="S6" s="5"/>
      <c r="T6" s="5"/>
      <c r="U6" s="5"/>
      <c r="V6" s="5"/>
      <c r="W6" s="5"/>
      <c r="X6" s="5"/>
      <c r="Y6" s="5"/>
      <c r="Z6" s="5"/>
    </row>
    <row r="7" ht="51.75" customHeight="1">
      <c r="A7" s="12">
        <v>2.0</v>
      </c>
      <c r="B7" s="12" t="s">
        <v>34</v>
      </c>
      <c r="C7" s="12" t="s">
        <v>35</v>
      </c>
      <c r="D7" s="16"/>
      <c r="E7" s="13"/>
      <c r="F7" s="13"/>
      <c r="G7" s="17" t="s">
        <v>31</v>
      </c>
      <c r="H7" s="5"/>
      <c r="I7" s="5"/>
      <c r="J7" s="5"/>
      <c r="K7" s="5"/>
      <c r="L7" s="5"/>
      <c r="M7" s="5"/>
      <c r="N7" s="5"/>
      <c r="O7" s="5"/>
      <c r="P7" s="5"/>
      <c r="Q7" s="5"/>
      <c r="R7" s="5"/>
      <c r="S7" s="5"/>
      <c r="T7" s="5"/>
      <c r="U7" s="5"/>
      <c r="V7" s="5"/>
      <c r="W7" s="5"/>
      <c r="X7" s="5"/>
      <c r="Y7" s="5"/>
      <c r="Z7" s="5"/>
    </row>
    <row r="8" ht="51.75" customHeight="1">
      <c r="A8" s="12">
        <v>3.0</v>
      </c>
      <c r="B8" s="12" t="s">
        <v>38</v>
      </c>
      <c r="C8" s="12" t="s">
        <v>39</v>
      </c>
      <c r="D8" s="16"/>
      <c r="E8" s="13"/>
      <c r="F8" s="13"/>
      <c r="G8" s="17" t="s">
        <v>42</v>
      </c>
      <c r="H8" s="5"/>
      <c r="I8" s="5"/>
      <c r="J8" s="5"/>
      <c r="K8" s="5"/>
      <c r="L8" s="5"/>
      <c r="M8" s="5"/>
      <c r="N8" s="5"/>
      <c r="O8" s="5"/>
      <c r="P8" s="5"/>
      <c r="Q8" s="5"/>
      <c r="R8" s="5"/>
      <c r="S8" s="5"/>
      <c r="T8" s="5"/>
      <c r="U8" s="5"/>
      <c r="V8" s="5"/>
      <c r="W8" s="5"/>
      <c r="X8" s="5"/>
      <c r="Y8" s="5"/>
      <c r="Z8" s="5"/>
    </row>
    <row r="9" ht="51.75" customHeight="1">
      <c r="A9" s="12">
        <v>4.0</v>
      </c>
      <c r="B9" s="12" t="s">
        <v>43</v>
      </c>
      <c r="C9" s="12" t="s">
        <v>44</v>
      </c>
      <c r="D9" s="16"/>
      <c r="E9" s="13"/>
      <c r="F9" s="13"/>
      <c r="G9" s="17" t="s">
        <v>31</v>
      </c>
      <c r="H9" s="5"/>
      <c r="I9" s="5"/>
      <c r="J9" s="5"/>
      <c r="K9" s="5"/>
      <c r="L9" s="5"/>
      <c r="M9" s="5"/>
      <c r="N9" s="5"/>
      <c r="O9" s="5"/>
      <c r="P9" s="5"/>
      <c r="Q9" s="5"/>
      <c r="R9" s="5"/>
      <c r="S9" s="5"/>
      <c r="T9" s="5"/>
      <c r="U9" s="5"/>
      <c r="V9" s="5"/>
      <c r="W9" s="5"/>
      <c r="X9" s="5"/>
      <c r="Y9" s="5"/>
      <c r="Z9" s="5"/>
    </row>
    <row r="10" ht="51.75" customHeight="1">
      <c r="A10" s="12">
        <v>5.0</v>
      </c>
      <c r="B10" s="12" t="s">
        <v>50</v>
      </c>
      <c r="C10" s="12" t="s">
        <v>52</v>
      </c>
      <c r="D10" s="16"/>
      <c r="E10" s="13"/>
      <c r="F10" s="13"/>
      <c r="G10" s="17" t="s">
        <v>31</v>
      </c>
      <c r="H10" s="5"/>
      <c r="I10" s="5"/>
      <c r="J10" s="5"/>
      <c r="K10" s="5"/>
      <c r="L10" s="5"/>
      <c r="M10" s="5"/>
      <c r="N10" s="5"/>
      <c r="O10" s="5"/>
      <c r="P10" s="5"/>
      <c r="Q10" s="5"/>
      <c r="R10" s="5"/>
      <c r="S10" s="5"/>
      <c r="T10" s="5"/>
      <c r="U10" s="5"/>
      <c r="V10" s="5"/>
      <c r="W10" s="5"/>
      <c r="X10" s="5"/>
      <c r="Y10" s="5"/>
      <c r="Z10" s="5"/>
    </row>
    <row r="11" ht="51.75" customHeight="1">
      <c r="A11" s="12">
        <v>6.0</v>
      </c>
      <c r="B11" s="12" t="s">
        <v>55</v>
      </c>
      <c r="C11" s="12" t="s">
        <v>56</v>
      </c>
      <c r="D11" s="16"/>
      <c r="E11" s="13"/>
      <c r="F11" s="13"/>
      <c r="G11" s="17" t="s">
        <v>31</v>
      </c>
      <c r="H11" s="5"/>
      <c r="I11" s="5"/>
      <c r="J11" s="5"/>
      <c r="K11" s="5"/>
      <c r="L11" s="5"/>
      <c r="M11" s="5"/>
      <c r="N11" s="5"/>
      <c r="O11" s="5"/>
      <c r="P11" s="5"/>
      <c r="Q11" s="5"/>
      <c r="R11" s="5"/>
      <c r="S11" s="5"/>
      <c r="T11" s="5"/>
      <c r="U11" s="5"/>
      <c r="V11" s="5"/>
      <c r="W11" s="5"/>
      <c r="X11" s="5"/>
      <c r="Y11" s="5"/>
      <c r="Z11" s="5"/>
    </row>
    <row r="12" ht="51.75" customHeight="1">
      <c r="A12" s="12">
        <v>7.0</v>
      </c>
      <c r="B12" s="12" t="s">
        <v>61</v>
      </c>
      <c r="C12" s="12" t="s">
        <v>62</v>
      </c>
      <c r="D12" s="16"/>
      <c r="E12" s="13"/>
      <c r="F12" s="13"/>
      <c r="G12" s="17" t="s">
        <v>31</v>
      </c>
      <c r="H12" s="5"/>
      <c r="I12" s="5"/>
      <c r="J12" s="5"/>
      <c r="K12" s="5"/>
      <c r="L12" s="5"/>
      <c r="M12" s="5"/>
      <c r="N12" s="5"/>
      <c r="O12" s="5"/>
      <c r="P12" s="5"/>
      <c r="Q12" s="5"/>
      <c r="R12" s="5"/>
      <c r="S12" s="5"/>
      <c r="T12" s="5"/>
      <c r="U12" s="5"/>
      <c r="V12" s="5"/>
      <c r="W12" s="5"/>
      <c r="X12" s="5"/>
      <c r="Y12" s="5"/>
      <c r="Z12" s="5"/>
    </row>
    <row r="13" ht="51.75" customHeight="1">
      <c r="A13" s="12">
        <v>8.0</v>
      </c>
      <c r="B13" s="12" t="s">
        <v>66</v>
      </c>
      <c r="C13" s="12" t="s">
        <v>67</v>
      </c>
      <c r="D13" s="16"/>
      <c r="E13" s="13"/>
      <c r="F13" s="13"/>
      <c r="G13" s="17" t="s">
        <v>31</v>
      </c>
      <c r="H13" s="5"/>
      <c r="I13" s="5"/>
      <c r="J13" s="5"/>
      <c r="K13" s="5"/>
      <c r="L13" s="5"/>
      <c r="M13" s="5"/>
      <c r="N13" s="5"/>
      <c r="O13" s="5"/>
      <c r="P13" s="5"/>
      <c r="Q13" s="5"/>
      <c r="R13" s="5"/>
      <c r="S13" s="5"/>
      <c r="T13" s="5"/>
      <c r="U13" s="5"/>
      <c r="V13" s="5"/>
      <c r="W13" s="5"/>
      <c r="X13" s="5"/>
      <c r="Y13" s="5"/>
      <c r="Z13" s="5"/>
    </row>
    <row r="14" ht="51.75" customHeight="1">
      <c r="A14" s="12">
        <v>9.0</v>
      </c>
      <c r="B14" s="12" t="s">
        <v>70</v>
      </c>
      <c r="C14" s="12" t="s">
        <v>71</v>
      </c>
      <c r="D14" s="16"/>
      <c r="E14" s="13"/>
      <c r="F14" s="13"/>
      <c r="G14" s="17" t="s">
        <v>72</v>
      </c>
      <c r="H14" s="5"/>
      <c r="I14" s="5"/>
      <c r="J14" s="5"/>
      <c r="K14" s="5"/>
      <c r="L14" s="5"/>
      <c r="M14" s="5"/>
      <c r="N14" s="5"/>
      <c r="O14" s="5"/>
      <c r="P14" s="5"/>
      <c r="Q14" s="5"/>
      <c r="R14" s="5"/>
      <c r="S14" s="5"/>
      <c r="T14" s="5"/>
      <c r="U14" s="5"/>
      <c r="V14" s="5"/>
      <c r="W14" s="5"/>
      <c r="X14" s="5"/>
      <c r="Y14" s="5"/>
      <c r="Z14" s="5"/>
    </row>
    <row r="15" ht="51.75" customHeight="1">
      <c r="A15" s="12">
        <v>10.0</v>
      </c>
      <c r="B15" s="12" t="s">
        <v>76</v>
      </c>
      <c r="C15" s="12" t="s">
        <v>77</v>
      </c>
      <c r="D15" s="16"/>
      <c r="E15" s="13"/>
      <c r="F15" s="13"/>
      <c r="G15" s="13"/>
      <c r="H15" s="5"/>
      <c r="I15" s="5"/>
      <c r="J15" s="5"/>
      <c r="K15" s="5"/>
      <c r="L15" s="5"/>
      <c r="M15" s="5"/>
      <c r="N15" s="5"/>
      <c r="O15" s="5"/>
      <c r="P15" s="5"/>
      <c r="Q15" s="5"/>
      <c r="R15" s="5"/>
      <c r="S15" s="5"/>
      <c r="T15" s="5"/>
      <c r="U15" s="5"/>
      <c r="V15" s="5"/>
      <c r="W15" s="5"/>
      <c r="X15" s="5"/>
      <c r="Y15" s="5"/>
      <c r="Z15" s="5"/>
    </row>
    <row r="16" ht="14.25" customHeight="1">
      <c r="A16" s="5"/>
      <c r="B16" s="5"/>
      <c r="C16" s="5"/>
      <c r="D16" s="5"/>
      <c r="E16" s="5"/>
      <c r="F16" s="5"/>
      <c r="G16" s="5"/>
      <c r="H16" s="5"/>
      <c r="I16" s="5"/>
      <c r="J16" s="5"/>
      <c r="K16" s="5"/>
      <c r="L16" s="5"/>
      <c r="M16" s="5"/>
      <c r="N16" s="5"/>
      <c r="O16" s="5"/>
      <c r="P16" s="5"/>
      <c r="Q16" s="5"/>
      <c r="R16" s="5"/>
      <c r="S16" s="5"/>
      <c r="T16" s="5"/>
      <c r="U16" s="5"/>
      <c r="V16" s="5"/>
      <c r="W16" s="5"/>
      <c r="X16" s="5"/>
      <c r="Y16" s="5"/>
      <c r="Z16" s="5"/>
    </row>
    <row r="17" ht="14.25" customHeight="1">
      <c r="A17" s="26" t="s">
        <v>80</v>
      </c>
      <c r="B17" s="3"/>
      <c r="C17" s="3"/>
      <c r="D17" s="3"/>
      <c r="E17" s="3"/>
      <c r="F17" s="3"/>
      <c r="G17" s="4"/>
      <c r="H17" s="5"/>
      <c r="I17" s="5"/>
      <c r="J17" s="5"/>
      <c r="K17" s="5"/>
      <c r="L17" s="5"/>
      <c r="M17" s="5"/>
      <c r="N17" s="5"/>
      <c r="O17" s="5"/>
      <c r="P17" s="5"/>
      <c r="Q17" s="5"/>
      <c r="R17" s="5"/>
      <c r="S17" s="5"/>
      <c r="T17" s="5"/>
      <c r="U17" s="5"/>
      <c r="V17" s="5"/>
      <c r="W17" s="5"/>
      <c r="X17" s="5"/>
      <c r="Y17" s="5"/>
      <c r="Z17" s="5"/>
    </row>
    <row r="18" ht="14.25" customHeight="1">
      <c r="A18" s="30" t="s">
        <v>84</v>
      </c>
      <c r="B18" s="30" t="s">
        <v>85</v>
      </c>
      <c r="C18" s="30" t="s">
        <v>86</v>
      </c>
      <c r="D18" s="30" t="s">
        <v>20</v>
      </c>
      <c r="E18" s="30" t="s">
        <v>15</v>
      </c>
      <c r="F18" s="30" t="s">
        <v>21</v>
      </c>
      <c r="G18" s="30" t="s">
        <v>16</v>
      </c>
      <c r="H18" s="5"/>
      <c r="I18" s="5"/>
      <c r="J18" s="5"/>
      <c r="K18" s="5"/>
      <c r="L18" s="5"/>
      <c r="M18" s="5"/>
      <c r="N18" s="5"/>
      <c r="O18" s="5"/>
      <c r="P18" s="5"/>
      <c r="Q18" s="5"/>
      <c r="R18" s="5"/>
      <c r="S18" s="5"/>
      <c r="T18" s="5"/>
      <c r="U18" s="5"/>
      <c r="V18" s="5"/>
      <c r="W18" s="5"/>
      <c r="X18" s="5"/>
      <c r="Y18" s="5"/>
      <c r="Z18" s="5"/>
    </row>
    <row r="19" ht="55.5" customHeight="1">
      <c r="A19" s="12">
        <v>1.0</v>
      </c>
      <c r="B19" s="12" t="s">
        <v>91</v>
      </c>
      <c r="C19" s="12" t="s">
        <v>93</v>
      </c>
      <c r="D19" s="32" t="s">
        <v>95</v>
      </c>
      <c r="E19" s="13"/>
      <c r="F19" s="13"/>
      <c r="G19" s="17" t="s">
        <v>97</v>
      </c>
      <c r="H19" s="5"/>
      <c r="I19" s="5"/>
      <c r="J19" s="5"/>
      <c r="K19" s="5"/>
      <c r="L19" s="5"/>
      <c r="M19" s="5"/>
      <c r="N19" s="5"/>
      <c r="O19" s="5"/>
      <c r="P19" s="5"/>
      <c r="Q19" s="5"/>
      <c r="R19" s="5"/>
      <c r="S19" s="5"/>
      <c r="T19" s="5"/>
      <c r="U19" s="5"/>
      <c r="V19" s="5"/>
      <c r="W19" s="5"/>
      <c r="X19" s="5"/>
      <c r="Y19" s="5"/>
      <c r="Z19" s="5"/>
    </row>
    <row r="20" ht="55.5" customHeight="1">
      <c r="A20" s="12">
        <v>2.0</v>
      </c>
      <c r="B20" s="12" t="s">
        <v>98</v>
      </c>
      <c r="C20" s="12" t="s">
        <v>99</v>
      </c>
      <c r="D20" s="32" t="s">
        <v>95</v>
      </c>
      <c r="E20" s="13"/>
      <c r="F20" s="13"/>
      <c r="G20" s="17" t="s">
        <v>100</v>
      </c>
      <c r="H20" s="5"/>
      <c r="I20" s="5"/>
      <c r="J20" s="5"/>
      <c r="K20" s="5"/>
      <c r="L20" s="5"/>
      <c r="M20" s="5"/>
      <c r="N20" s="5"/>
      <c r="O20" s="5"/>
      <c r="P20" s="5"/>
      <c r="Q20" s="5"/>
      <c r="R20" s="5"/>
      <c r="S20" s="5"/>
      <c r="T20" s="5"/>
      <c r="U20" s="5"/>
      <c r="V20" s="5"/>
      <c r="W20" s="5"/>
      <c r="X20" s="5"/>
      <c r="Y20" s="5"/>
      <c r="Z20" s="5"/>
    </row>
    <row r="21" ht="55.5" customHeight="1">
      <c r="A21" s="12">
        <v>3.0</v>
      </c>
      <c r="B21" s="12" t="s">
        <v>101</v>
      </c>
      <c r="C21" s="12" t="s">
        <v>102</v>
      </c>
      <c r="D21" s="32" t="s">
        <v>95</v>
      </c>
      <c r="E21" s="13"/>
      <c r="F21" s="13"/>
      <c r="G21" s="17" t="s">
        <v>97</v>
      </c>
      <c r="H21" s="5"/>
      <c r="I21" s="5"/>
      <c r="J21" s="5"/>
      <c r="K21" s="5"/>
      <c r="L21" s="5"/>
      <c r="M21" s="5"/>
      <c r="N21" s="5"/>
      <c r="O21" s="5"/>
      <c r="P21" s="5"/>
      <c r="Q21" s="5"/>
      <c r="R21" s="5"/>
      <c r="S21" s="5"/>
      <c r="T21" s="5"/>
      <c r="U21" s="5"/>
      <c r="V21" s="5"/>
      <c r="W21" s="5"/>
      <c r="X21" s="5"/>
      <c r="Y21" s="5"/>
      <c r="Z21" s="5"/>
    </row>
    <row r="22" ht="55.5" customHeight="1">
      <c r="A22" s="12">
        <v>4.0</v>
      </c>
      <c r="B22" s="12" t="s">
        <v>104</v>
      </c>
      <c r="C22" s="12" t="s">
        <v>105</v>
      </c>
      <c r="D22" s="32" t="s">
        <v>95</v>
      </c>
      <c r="E22" s="13"/>
      <c r="F22" s="13"/>
      <c r="G22" s="17" t="s">
        <v>106</v>
      </c>
      <c r="H22" s="5"/>
      <c r="I22" s="5"/>
      <c r="J22" s="5"/>
      <c r="K22" s="5"/>
      <c r="L22" s="5"/>
      <c r="M22" s="5"/>
      <c r="N22" s="5"/>
      <c r="O22" s="5"/>
      <c r="P22" s="5"/>
      <c r="Q22" s="5"/>
      <c r="R22" s="5"/>
      <c r="S22" s="5"/>
      <c r="T22" s="5"/>
      <c r="U22" s="5"/>
      <c r="V22" s="5"/>
      <c r="W22" s="5"/>
      <c r="X22" s="5"/>
      <c r="Y22" s="5"/>
      <c r="Z22" s="5"/>
    </row>
    <row r="23" ht="55.5" customHeight="1">
      <c r="A23" s="12">
        <v>5.0</v>
      </c>
      <c r="B23" s="12" t="s">
        <v>107</v>
      </c>
      <c r="C23" s="12" t="s">
        <v>108</v>
      </c>
      <c r="D23" s="32" t="s">
        <v>95</v>
      </c>
      <c r="E23" s="13"/>
      <c r="F23" s="13"/>
      <c r="G23" s="17" t="s">
        <v>110</v>
      </c>
      <c r="H23" s="5"/>
      <c r="I23" s="5"/>
      <c r="J23" s="5"/>
      <c r="K23" s="5"/>
      <c r="L23" s="5"/>
      <c r="M23" s="5"/>
      <c r="N23" s="5"/>
      <c r="O23" s="5"/>
      <c r="P23" s="5"/>
      <c r="Q23" s="5"/>
      <c r="R23" s="5"/>
      <c r="S23" s="5"/>
      <c r="T23" s="5"/>
      <c r="U23" s="5"/>
      <c r="V23" s="5"/>
      <c r="W23" s="5"/>
      <c r="X23" s="5"/>
      <c r="Y23" s="5"/>
      <c r="Z23" s="5"/>
    </row>
    <row r="24" ht="55.5" customHeight="1">
      <c r="A24" s="12">
        <v>6.0</v>
      </c>
      <c r="B24" s="12" t="s">
        <v>111</v>
      </c>
      <c r="C24" s="12" t="s">
        <v>112</v>
      </c>
      <c r="D24" s="32" t="s">
        <v>95</v>
      </c>
      <c r="E24" s="13"/>
      <c r="F24" s="13"/>
      <c r="G24" s="17" t="s">
        <v>114</v>
      </c>
      <c r="H24" s="5"/>
      <c r="I24" s="5"/>
      <c r="J24" s="5"/>
      <c r="K24" s="5"/>
      <c r="L24" s="5"/>
      <c r="M24" s="5"/>
      <c r="N24" s="5"/>
      <c r="O24" s="5"/>
      <c r="P24" s="5"/>
      <c r="Q24" s="5"/>
      <c r="R24" s="5"/>
      <c r="S24" s="5"/>
      <c r="T24" s="5"/>
      <c r="U24" s="5"/>
      <c r="V24" s="5"/>
      <c r="W24" s="5"/>
      <c r="X24" s="5"/>
      <c r="Y24" s="5"/>
      <c r="Z24" s="5"/>
    </row>
    <row r="25" ht="55.5" customHeight="1">
      <c r="A25" s="12">
        <v>7.0</v>
      </c>
      <c r="B25" s="12" t="s">
        <v>115</v>
      </c>
      <c r="C25" s="12" t="s">
        <v>116</v>
      </c>
      <c r="D25" s="32" t="s">
        <v>95</v>
      </c>
      <c r="E25" s="13"/>
      <c r="F25" s="13"/>
      <c r="G25" s="17" t="s">
        <v>117</v>
      </c>
      <c r="H25" s="5"/>
      <c r="I25" s="5"/>
      <c r="J25" s="5"/>
      <c r="K25" s="5"/>
      <c r="L25" s="5"/>
      <c r="M25" s="5"/>
      <c r="N25" s="5"/>
      <c r="O25" s="5"/>
      <c r="P25" s="5"/>
      <c r="Q25" s="5"/>
      <c r="R25" s="5"/>
      <c r="S25" s="5"/>
      <c r="T25" s="5"/>
      <c r="U25" s="5"/>
      <c r="V25" s="5"/>
      <c r="W25" s="5"/>
      <c r="X25" s="5"/>
      <c r="Y25" s="5"/>
      <c r="Z25" s="5"/>
    </row>
    <row r="26" ht="14.2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4.2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4.2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4.2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4.2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4.2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4.2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4.2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4.2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4.2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4.2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4.2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4.2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4.2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4.2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4.2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4.2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4.2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4.2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4.2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4.2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4.2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4.2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4.2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4.2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4.2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4.2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4.2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4.2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4.2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4.2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4.2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4.2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4.2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4.2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4.2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4.2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4.2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4.2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4.2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4.2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4.2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4.2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4.2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4.2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4.2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4.2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4.2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4.2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4.2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4.2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4.2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4.2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4.2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4.2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4.2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4.2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4.2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4.2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4.2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4.2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4.2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4.2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4.2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4.2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4.2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4.2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4.2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4.2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4.2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4.2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4.2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4.2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4.2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4.2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4.2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4.2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4.2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4.2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4.2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4.2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4.2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4.2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4.2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4.2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4.2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4.2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4.2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4.2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4.2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4.2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4.2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4.2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4.2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4.2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4.2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4.2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4.2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4.2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4.2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4.2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4.2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4.2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4.2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4.2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4.2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4.2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4.2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4.2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4.2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4.2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4.2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4.2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4.2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4.2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4.2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4.2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4.2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4.2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4.2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4.2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4.2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4.2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4.2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4.2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4.2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4.2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4.2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4.2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4.2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4.2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4.2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4.2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4.2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4.2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4.2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4.2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4.2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4.2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4.2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4.2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4.2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4.2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4.2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4.2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4.2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4.2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4.2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4.2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4.2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4.2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4.2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4.2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4.2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4.2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4.2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4.2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4.2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4.2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4.2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4.2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4.2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4.2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4.2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4.2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4.2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4.2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4.2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4.2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4.2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4.2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4.2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4.2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4.2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4.2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4.2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4.2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4.2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4.2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4.2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4.2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4.2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4.2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4.2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4.2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4.2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4.2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4.2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4.2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4.2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4.2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4.2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4.2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4.2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4.2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4.2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4.2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4.2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4.2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4.2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3">
    <mergeCell ref="A1:G1"/>
    <mergeCell ref="A3:G3"/>
    <mergeCell ref="A17:G17"/>
  </mergeCells>
  <conditionalFormatting sqref="D6:D15">
    <cfRule type="expression" dxfId="1" priority="1">
      <formula>D6="Đạt"</formula>
    </cfRule>
  </conditionalFormatting>
  <conditionalFormatting sqref="D6:D15">
    <cfRule type="expression" dxfId="2" priority="2">
      <formula>D6="Một phần"</formula>
    </cfRule>
  </conditionalFormatting>
  <conditionalFormatting sqref="D6:D15">
    <cfRule type="expression" dxfId="0" priority="3">
      <formula>D6="Chưa"</formula>
    </cfRule>
  </conditionalFormatting>
  <dataValidations>
    <dataValidation type="list" allowBlank="1" sqref="D6:D15 D19:D25">
      <formula1>"Chưa,Một phần,Đạt"</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0"/>
    <col customWidth="1" min="2" max="2" width="105.0"/>
    <col customWidth="1" min="3" max="6" width="8.63"/>
  </cols>
  <sheetData>
    <row r="1" ht="14.25" customHeight="1">
      <c r="A1" s="1" t="s">
        <v>3</v>
      </c>
      <c r="B1" s="4"/>
      <c r="C1" s="6"/>
      <c r="D1" s="6"/>
      <c r="E1" s="6"/>
      <c r="F1" s="6"/>
      <c r="G1" s="5"/>
      <c r="H1" s="5"/>
      <c r="I1" s="5"/>
      <c r="J1" s="5"/>
      <c r="K1" s="5"/>
      <c r="L1" s="5"/>
      <c r="M1" s="5"/>
      <c r="N1" s="5"/>
      <c r="O1" s="5"/>
      <c r="P1" s="5"/>
      <c r="Q1" s="5"/>
      <c r="R1" s="5"/>
      <c r="S1" s="5"/>
      <c r="T1" s="5"/>
      <c r="U1" s="5"/>
      <c r="V1" s="5"/>
      <c r="W1" s="5"/>
      <c r="X1" s="5"/>
      <c r="Y1" s="5"/>
      <c r="Z1" s="5"/>
    </row>
    <row r="2" ht="14.25" customHeight="1">
      <c r="A2" s="5"/>
      <c r="B2" s="5"/>
      <c r="C2" s="5"/>
      <c r="D2" s="5"/>
      <c r="E2" s="5"/>
      <c r="F2" s="5"/>
      <c r="G2" s="5"/>
      <c r="H2" s="5"/>
      <c r="I2" s="5"/>
      <c r="J2" s="5"/>
      <c r="K2" s="5"/>
      <c r="L2" s="5"/>
      <c r="M2" s="5"/>
      <c r="N2" s="5"/>
      <c r="O2" s="5"/>
      <c r="P2" s="5"/>
      <c r="Q2" s="5"/>
      <c r="R2" s="5"/>
      <c r="S2" s="5"/>
      <c r="T2" s="5"/>
      <c r="U2" s="5"/>
      <c r="V2" s="5"/>
      <c r="W2" s="5"/>
      <c r="X2" s="5"/>
      <c r="Y2" s="5"/>
      <c r="Z2" s="5"/>
    </row>
    <row r="3" ht="54.75" customHeight="1">
      <c r="A3" s="8" t="s">
        <v>6</v>
      </c>
      <c r="B3" s="10" t="s">
        <v>8</v>
      </c>
      <c r="C3" s="5"/>
      <c r="D3" s="5"/>
      <c r="E3" s="5"/>
      <c r="F3" s="5"/>
      <c r="G3" s="5"/>
      <c r="H3" s="5"/>
      <c r="I3" s="5"/>
      <c r="J3" s="5"/>
      <c r="K3" s="5"/>
      <c r="L3" s="5"/>
      <c r="M3" s="5"/>
      <c r="N3" s="5"/>
      <c r="O3" s="5"/>
      <c r="P3" s="5"/>
      <c r="Q3" s="5"/>
      <c r="R3" s="5"/>
      <c r="S3" s="5"/>
      <c r="T3" s="5"/>
      <c r="U3" s="5"/>
      <c r="V3" s="5"/>
      <c r="W3" s="5"/>
      <c r="X3" s="5"/>
      <c r="Y3" s="5"/>
      <c r="Z3" s="5"/>
    </row>
    <row r="4" ht="54.75" customHeight="1">
      <c r="A4" s="8" t="s">
        <v>22</v>
      </c>
      <c r="B4" s="10" t="s">
        <v>24</v>
      </c>
      <c r="C4" s="5"/>
      <c r="D4" s="5"/>
      <c r="E4" s="5"/>
      <c r="F4" s="5"/>
      <c r="G4" s="5"/>
      <c r="H4" s="5"/>
      <c r="I4" s="5"/>
      <c r="J4" s="5"/>
      <c r="K4" s="5"/>
      <c r="L4" s="5"/>
      <c r="M4" s="5"/>
      <c r="N4" s="5"/>
      <c r="O4" s="5"/>
      <c r="P4" s="5"/>
      <c r="Q4" s="5"/>
      <c r="R4" s="5"/>
      <c r="S4" s="5"/>
      <c r="T4" s="5"/>
      <c r="U4" s="5"/>
      <c r="V4" s="5"/>
      <c r="W4" s="5"/>
      <c r="X4" s="5"/>
      <c r="Y4" s="5"/>
      <c r="Z4" s="5"/>
    </row>
    <row r="5" ht="54.75" customHeight="1">
      <c r="A5" s="8" t="s">
        <v>28</v>
      </c>
      <c r="B5" s="10" t="s">
        <v>29</v>
      </c>
      <c r="C5" s="5"/>
      <c r="D5" s="5"/>
      <c r="E5" s="5"/>
      <c r="F5" s="5"/>
      <c r="G5" s="5"/>
      <c r="H5" s="5"/>
      <c r="I5" s="5"/>
      <c r="J5" s="5"/>
      <c r="K5" s="5"/>
      <c r="L5" s="5"/>
      <c r="M5" s="5"/>
      <c r="N5" s="5"/>
      <c r="O5" s="5"/>
      <c r="P5" s="5"/>
      <c r="Q5" s="5"/>
      <c r="R5" s="5"/>
      <c r="S5" s="5"/>
      <c r="T5" s="5"/>
      <c r="U5" s="5"/>
      <c r="V5" s="5"/>
      <c r="W5" s="5"/>
      <c r="X5" s="5"/>
      <c r="Y5" s="5"/>
      <c r="Z5" s="5"/>
    </row>
    <row r="6" ht="54.75" customHeight="1">
      <c r="A6" s="8" t="s">
        <v>32</v>
      </c>
      <c r="B6" s="10" t="s">
        <v>33</v>
      </c>
      <c r="C6" s="5"/>
      <c r="D6" s="5"/>
      <c r="E6" s="5"/>
      <c r="F6" s="5"/>
      <c r="G6" s="5"/>
      <c r="H6" s="5"/>
      <c r="I6" s="5"/>
      <c r="J6" s="5"/>
      <c r="K6" s="5"/>
      <c r="L6" s="5"/>
      <c r="M6" s="5"/>
      <c r="N6" s="5"/>
      <c r="O6" s="5"/>
      <c r="P6" s="5"/>
      <c r="Q6" s="5"/>
      <c r="R6" s="5"/>
      <c r="S6" s="5"/>
      <c r="T6" s="5"/>
      <c r="U6" s="5"/>
      <c r="V6" s="5"/>
      <c r="W6" s="5"/>
      <c r="X6" s="5"/>
      <c r="Y6" s="5"/>
      <c r="Z6" s="5"/>
    </row>
    <row r="7" ht="54.75" customHeight="1">
      <c r="A7" s="8" t="s">
        <v>36</v>
      </c>
      <c r="B7" s="10" t="s">
        <v>37</v>
      </c>
      <c r="C7" s="5"/>
      <c r="D7" s="5"/>
      <c r="E7" s="5"/>
      <c r="F7" s="5"/>
      <c r="G7" s="5"/>
      <c r="H7" s="5"/>
      <c r="I7" s="5"/>
      <c r="J7" s="5"/>
      <c r="K7" s="5"/>
      <c r="L7" s="5"/>
      <c r="M7" s="5"/>
      <c r="N7" s="5"/>
      <c r="O7" s="5"/>
      <c r="P7" s="5"/>
      <c r="Q7" s="5"/>
      <c r="R7" s="5"/>
      <c r="S7" s="5"/>
      <c r="T7" s="5"/>
      <c r="U7" s="5"/>
      <c r="V7" s="5"/>
      <c r="W7" s="5"/>
      <c r="X7" s="5"/>
      <c r="Y7" s="5"/>
      <c r="Z7" s="5"/>
    </row>
    <row r="8" ht="54.75" customHeight="1">
      <c r="A8" s="8" t="s">
        <v>40</v>
      </c>
      <c r="B8" s="10" t="s">
        <v>41</v>
      </c>
      <c r="C8" s="5"/>
      <c r="D8" s="5"/>
      <c r="E8" s="5"/>
      <c r="F8" s="5"/>
      <c r="G8" s="5"/>
      <c r="H8" s="5"/>
      <c r="I8" s="5"/>
      <c r="J8" s="5"/>
      <c r="K8" s="5"/>
      <c r="L8" s="5"/>
      <c r="M8" s="5"/>
      <c r="N8" s="5"/>
      <c r="O8" s="5"/>
      <c r="P8" s="5"/>
      <c r="Q8" s="5"/>
      <c r="R8" s="5"/>
      <c r="S8" s="5"/>
      <c r="T8" s="5"/>
      <c r="U8" s="5"/>
      <c r="V8" s="5"/>
      <c r="W8" s="5"/>
      <c r="X8" s="5"/>
      <c r="Y8" s="5"/>
      <c r="Z8" s="5"/>
    </row>
    <row r="9" ht="54.75" customHeight="1">
      <c r="A9" s="8" t="s">
        <v>45</v>
      </c>
      <c r="B9" s="10" t="s">
        <v>46</v>
      </c>
      <c r="C9" s="5"/>
      <c r="D9" s="5"/>
      <c r="E9" s="5"/>
      <c r="F9" s="5"/>
      <c r="G9" s="5"/>
      <c r="H9" s="5"/>
      <c r="I9" s="5"/>
      <c r="J9" s="5"/>
      <c r="K9" s="5"/>
      <c r="L9" s="5"/>
      <c r="M9" s="5"/>
      <c r="N9" s="5"/>
      <c r="O9" s="5"/>
      <c r="P9" s="5"/>
      <c r="Q9" s="5"/>
      <c r="R9" s="5"/>
      <c r="S9" s="5"/>
      <c r="T9" s="5"/>
      <c r="U9" s="5"/>
      <c r="V9" s="5"/>
      <c r="W9" s="5"/>
      <c r="X9" s="5"/>
      <c r="Y9" s="5"/>
      <c r="Z9" s="5"/>
    </row>
    <row r="10" ht="54.75" customHeight="1">
      <c r="A10" s="8" t="s">
        <v>49</v>
      </c>
      <c r="B10" s="10" t="s">
        <v>53</v>
      </c>
      <c r="C10" s="5"/>
      <c r="D10" s="5"/>
      <c r="E10" s="5"/>
      <c r="F10" s="5"/>
      <c r="G10" s="5"/>
      <c r="H10" s="5"/>
      <c r="I10" s="5"/>
      <c r="J10" s="5"/>
      <c r="K10" s="5"/>
      <c r="L10" s="5"/>
      <c r="M10" s="5"/>
      <c r="N10" s="5"/>
      <c r="O10" s="5"/>
      <c r="P10" s="5"/>
      <c r="Q10" s="5"/>
      <c r="R10" s="5"/>
      <c r="S10" s="5"/>
      <c r="T10" s="5"/>
      <c r="U10" s="5"/>
      <c r="V10" s="5"/>
      <c r="W10" s="5"/>
      <c r="X10" s="5"/>
      <c r="Y10" s="5"/>
      <c r="Z10" s="5"/>
    </row>
    <row r="11" ht="54.75" customHeight="1">
      <c r="A11" s="8" t="s">
        <v>58</v>
      </c>
      <c r="B11" s="10" t="s">
        <v>59</v>
      </c>
      <c r="C11" s="5"/>
      <c r="D11" s="5"/>
      <c r="E11" s="5"/>
      <c r="F11" s="5"/>
      <c r="G11" s="5"/>
      <c r="H11" s="5"/>
      <c r="I11" s="5"/>
      <c r="J11" s="5"/>
      <c r="K11" s="5"/>
      <c r="L11" s="5"/>
      <c r="M11" s="5"/>
      <c r="N11" s="5"/>
      <c r="O11" s="5"/>
      <c r="P11" s="5"/>
      <c r="Q11" s="5"/>
      <c r="R11" s="5"/>
      <c r="S11" s="5"/>
      <c r="T11" s="5"/>
      <c r="U11" s="5"/>
      <c r="V11" s="5"/>
      <c r="W11" s="5"/>
      <c r="X11" s="5"/>
      <c r="Y11" s="5"/>
      <c r="Z11" s="5"/>
    </row>
    <row r="12" ht="54.75" customHeight="1">
      <c r="A12" s="8" t="s">
        <v>63</v>
      </c>
      <c r="B12" s="10" t="s">
        <v>64</v>
      </c>
      <c r="C12" s="5"/>
      <c r="D12" s="5"/>
      <c r="E12" s="5"/>
      <c r="F12" s="5"/>
      <c r="G12" s="5"/>
      <c r="H12" s="5"/>
      <c r="I12" s="5"/>
      <c r="J12" s="5"/>
      <c r="K12" s="5"/>
      <c r="L12" s="5"/>
      <c r="M12" s="5"/>
      <c r="N12" s="5"/>
      <c r="O12" s="5"/>
      <c r="P12" s="5"/>
      <c r="Q12" s="5"/>
      <c r="R12" s="5"/>
      <c r="S12" s="5"/>
      <c r="T12" s="5"/>
      <c r="U12" s="5"/>
      <c r="V12" s="5"/>
      <c r="W12" s="5"/>
      <c r="X12" s="5"/>
      <c r="Y12" s="5"/>
      <c r="Z12" s="5"/>
    </row>
    <row r="13" ht="54.75" customHeight="1">
      <c r="A13" s="8" t="s">
        <v>68</v>
      </c>
      <c r="B13" s="10" t="s">
        <v>69</v>
      </c>
      <c r="C13" s="5"/>
      <c r="D13" s="5"/>
      <c r="E13" s="5"/>
      <c r="F13" s="5"/>
      <c r="G13" s="5"/>
      <c r="H13" s="5"/>
      <c r="I13" s="5"/>
      <c r="J13" s="5"/>
      <c r="K13" s="5"/>
      <c r="L13" s="5"/>
      <c r="M13" s="5"/>
      <c r="N13" s="5"/>
      <c r="O13" s="5"/>
      <c r="P13" s="5"/>
      <c r="Q13" s="5"/>
      <c r="R13" s="5"/>
      <c r="S13" s="5"/>
      <c r="T13" s="5"/>
      <c r="U13" s="5"/>
      <c r="V13" s="5"/>
      <c r="W13" s="5"/>
      <c r="X13" s="5"/>
      <c r="Y13" s="5"/>
      <c r="Z13" s="5"/>
    </row>
    <row r="14" ht="54.75" customHeight="1">
      <c r="A14" s="8" t="s">
        <v>74</v>
      </c>
      <c r="B14" s="10" t="s">
        <v>75</v>
      </c>
      <c r="C14" s="5"/>
      <c r="D14" s="5"/>
      <c r="E14" s="5"/>
      <c r="F14" s="5"/>
      <c r="G14" s="5"/>
      <c r="H14" s="5"/>
      <c r="I14" s="5"/>
      <c r="J14" s="5"/>
      <c r="K14" s="5"/>
      <c r="L14" s="5"/>
      <c r="M14" s="5"/>
      <c r="N14" s="5"/>
      <c r="O14" s="5"/>
      <c r="P14" s="5"/>
      <c r="Q14" s="5"/>
      <c r="R14" s="5"/>
      <c r="S14" s="5"/>
      <c r="T14" s="5"/>
      <c r="U14" s="5"/>
      <c r="V14" s="5"/>
      <c r="W14" s="5"/>
      <c r="X14" s="5"/>
      <c r="Y14" s="5"/>
      <c r="Z14" s="5"/>
    </row>
    <row r="15" ht="54.75" customHeight="1">
      <c r="A15" s="8" t="s">
        <v>78</v>
      </c>
      <c r="B15" s="10" t="s">
        <v>79</v>
      </c>
      <c r="C15" s="5"/>
      <c r="D15" s="5"/>
      <c r="E15" s="5"/>
      <c r="F15" s="5"/>
      <c r="G15" s="5"/>
      <c r="H15" s="5"/>
      <c r="I15" s="5"/>
      <c r="J15" s="5"/>
      <c r="K15" s="5"/>
      <c r="L15" s="5"/>
      <c r="M15" s="5"/>
      <c r="N15" s="5"/>
      <c r="O15" s="5"/>
      <c r="P15" s="5"/>
      <c r="Q15" s="5"/>
      <c r="R15" s="5"/>
      <c r="S15" s="5"/>
      <c r="T15" s="5"/>
      <c r="U15" s="5"/>
      <c r="V15" s="5"/>
      <c r="W15" s="5"/>
      <c r="X15" s="5"/>
      <c r="Y15" s="5"/>
      <c r="Z15" s="5"/>
    </row>
    <row r="16" ht="14.25" customHeight="1">
      <c r="A16" s="5"/>
      <c r="B16" s="5"/>
      <c r="C16" s="5"/>
      <c r="D16" s="5"/>
      <c r="E16" s="5"/>
      <c r="F16" s="5"/>
      <c r="G16" s="5"/>
      <c r="H16" s="5"/>
      <c r="I16" s="5"/>
      <c r="J16" s="5"/>
      <c r="K16" s="5"/>
      <c r="L16" s="5"/>
      <c r="M16" s="5"/>
      <c r="N16" s="5"/>
      <c r="O16" s="5"/>
      <c r="P16" s="5"/>
      <c r="Q16" s="5"/>
      <c r="R16" s="5"/>
      <c r="S16" s="5"/>
      <c r="T16" s="5"/>
      <c r="U16" s="5"/>
      <c r="V16" s="5"/>
      <c r="W16" s="5"/>
      <c r="X16" s="5"/>
      <c r="Y16" s="5"/>
      <c r="Z16" s="5"/>
    </row>
    <row r="17" ht="14.25" customHeight="1">
      <c r="A17" s="28" t="s">
        <v>81</v>
      </c>
      <c r="B17" s="29" t="s">
        <v>82</v>
      </c>
      <c r="C17" s="5"/>
      <c r="D17" s="5"/>
      <c r="E17" s="5"/>
      <c r="F17" s="5"/>
      <c r="G17" s="5"/>
      <c r="H17" s="5"/>
      <c r="I17" s="5"/>
      <c r="J17" s="5"/>
      <c r="K17" s="5"/>
      <c r="L17" s="5"/>
      <c r="M17" s="5"/>
      <c r="N17" s="5"/>
      <c r="O17" s="5"/>
      <c r="P17" s="5"/>
      <c r="Q17" s="5"/>
      <c r="R17" s="5"/>
      <c r="S17" s="5"/>
      <c r="T17" s="5"/>
      <c r="U17" s="5"/>
      <c r="V17" s="5"/>
      <c r="W17" s="5"/>
      <c r="X17" s="5"/>
      <c r="Y17" s="5"/>
      <c r="Z17" s="5"/>
    </row>
    <row r="18" ht="14.25" customHeight="1">
      <c r="A18" s="28" t="s">
        <v>88</v>
      </c>
      <c r="B18" s="29" t="s">
        <v>89</v>
      </c>
      <c r="C18" s="5"/>
      <c r="D18" s="5"/>
      <c r="E18" s="5"/>
      <c r="F18" s="5"/>
      <c r="G18" s="5"/>
      <c r="H18" s="5"/>
      <c r="I18" s="5"/>
      <c r="J18" s="5"/>
      <c r="K18" s="5"/>
      <c r="L18" s="5"/>
      <c r="M18" s="5"/>
      <c r="N18" s="5"/>
      <c r="O18" s="5"/>
      <c r="P18" s="5"/>
      <c r="Q18" s="5"/>
      <c r="R18" s="5"/>
      <c r="S18" s="5"/>
      <c r="T18" s="5"/>
      <c r="U18" s="5"/>
      <c r="V18" s="5"/>
      <c r="W18" s="5"/>
      <c r="X18" s="5"/>
      <c r="Y18" s="5"/>
      <c r="Z18" s="5"/>
    </row>
    <row r="19" ht="14.25" customHeight="1">
      <c r="A19" s="28" t="s">
        <v>94</v>
      </c>
      <c r="B19" s="29" t="s">
        <v>96</v>
      </c>
      <c r="C19" s="5"/>
      <c r="D19" s="5"/>
      <c r="E19" s="5"/>
      <c r="F19" s="5"/>
      <c r="G19" s="5"/>
      <c r="H19" s="5"/>
      <c r="I19" s="5"/>
      <c r="J19" s="5"/>
      <c r="K19" s="5"/>
      <c r="L19" s="5"/>
      <c r="M19" s="5"/>
      <c r="N19" s="5"/>
      <c r="O19" s="5"/>
      <c r="P19" s="5"/>
      <c r="Q19" s="5"/>
      <c r="R19" s="5"/>
      <c r="S19" s="5"/>
      <c r="T19" s="5"/>
      <c r="U19" s="5"/>
      <c r="V19" s="5"/>
      <c r="W19" s="5"/>
      <c r="X19" s="5"/>
      <c r="Y19" s="5"/>
      <c r="Z19" s="5"/>
    </row>
    <row r="20" ht="14.25" customHeight="1">
      <c r="A20" s="5"/>
      <c r="B20" s="5"/>
      <c r="C20" s="5"/>
      <c r="D20" s="5"/>
      <c r="E20" s="5"/>
      <c r="F20" s="5"/>
      <c r="G20" s="5"/>
      <c r="H20" s="5"/>
      <c r="I20" s="5"/>
      <c r="J20" s="5"/>
      <c r="K20" s="5"/>
      <c r="L20" s="5"/>
      <c r="M20" s="5"/>
      <c r="N20" s="5"/>
      <c r="O20" s="5"/>
      <c r="P20" s="5"/>
      <c r="Q20" s="5"/>
      <c r="R20" s="5"/>
      <c r="S20" s="5"/>
      <c r="T20" s="5"/>
      <c r="U20" s="5"/>
      <c r="V20" s="5"/>
      <c r="W20" s="5"/>
      <c r="X20" s="5"/>
      <c r="Y20" s="5"/>
      <c r="Z20" s="5"/>
    </row>
    <row r="21" ht="14.2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4.2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4.2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4.2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4.2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4.2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4.2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4.2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4.2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4.2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4.2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4.2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4.2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4.2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4.2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4.2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4.2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4.2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4.2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4.2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4.2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4.2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4.2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4.2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4.2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4.2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4.2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4.2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4.2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4.2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4.2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4.2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4.2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4.2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4.2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4.2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4.2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4.2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4.2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4.2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4.2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4.2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4.2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4.2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4.2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4.2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4.2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4.2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4.2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4.2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4.2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4.2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4.2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4.2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4.2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4.2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4.2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4.2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4.2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4.2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4.2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4.2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4.2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4.2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4.2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4.2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4.2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4.2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4.2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4.2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4.2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4.2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4.2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4.2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4.2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4.2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4.2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4.2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4.2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4.2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4.2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4.2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4.2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4.2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4.2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4.2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4.2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4.2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4.2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4.2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4.2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4.2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4.2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4.2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4.2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4.2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4.2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4.2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4.2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4.2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4.2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4.2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4.2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4.2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4.2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4.2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4.2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4.2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4.2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4.2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4.2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4.2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4.2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4.2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4.2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4.2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4.2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4.2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4.2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4.2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4.2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4.2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4.2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4.2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4.2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4.2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4.2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4.2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4.2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4.2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4.2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4.2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4.2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4.2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4.2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4.2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4.2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4.2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4.2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4.2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4.2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4.2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4.2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4.2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4.2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4.2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4.2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4.2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4.2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4.2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4.2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4.2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4.2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4.2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4.2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4.2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4.2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4.2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4.2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4.2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4.2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4.2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4.2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4.2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4.2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4.2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4.2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4.2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4.2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4.2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4.2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4.2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4.2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4.2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4.2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4.2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4.2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4.2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4.2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4.2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4.2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4.2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4.2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4.2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4.2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4.2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4.2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4.2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4.2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4.2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4.2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4.2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4.2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4.2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4.2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4.2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4.2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4.2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4.2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4.2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1">
    <mergeCell ref="A1:B1"/>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0"/>
    <col customWidth="1" min="2" max="2" width="22.0"/>
    <col customWidth="1" min="3" max="3" width="28.0"/>
    <col customWidth="1" min="4" max="4" width="30.0"/>
    <col customWidth="1" min="5" max="5" width="35.0"/>
    <col customWidth="1" min="6" max="6" width="24.0"/>
    <col customWidth="1" min="7" max="7" width="38.0"/>
    <col customWidth="1" min="8" max="8" width="34.0"/>
    <col customWidth="1" min="9" max="9" width="28.0"/>
    <col customWidth="1" min="10" max="10" width="34.0"/>
    <col customWidth="1" min="11" max="11" width="30.0"/>
    <col customWidth="1" min="12" max="12" width="32.0"/>
    <col customWidth="1" min="13" max="13" width="14.0"/>
    <col customWidth="1" min="14" max="14" width="16.0"/>
    <col customWidth="1" min="15" max="15" width="28.0"/>
  </cols>
  <sheetData>
    <row r="1" ht="30.0" customHeight="1">
      <c r="A1" s="58" t="s">
        <v>236</v>
      </c>
      <c r="B1" s="3"/>
      <c r="C1" s="3"/>
      <c r="D1" s="3"/>
      <c r="E1" s="3"/>
      <c r="F1" s="3"/>
      <c r="G1" s="3"/>
      <c r="H1" s="3"/>
      <c r="I1" s="3"/>
      <c r="J1" s="3"/>
      <c r="K1" s="3"/>
      <c r="L1" s="3"/>
      <c r="M1" s="3"/>
      <c r="N1" s="3"/>
      <c r="O1" s="4"/>
      <c r="P1" s="5"/>
      <c r="Q1" s="5"/>
      <c r="R1" s="5"/>
      <c r="S1" s="5"/>
      <c r="T1" s="5"/>
      <c r="U1" s="5"/>
      <c r="V1" s="5"/>
      <c r="W1" s="5"/>
      <c r="X1" s="5"/>
      <c r="Y1" s="5"/>
      <c r="Z1" s="5"/>
    </row>
    <row r="2" ht="14.25" customHeight="1">
      <c r="A2" s="5"/>
      <c r="B2" s="5"/>
      <c r="C2" s="5"/>
      <c r="D2" s="5"/>
      <c r="E2" s="5"/>
      <c r="F2" s="5"/>
      <c r="G2" s="5"/>
      <c r="H2" s="5"/>
      <c r="I2" s="5"/>
      <c r="J2" s="5"/>
      <c r="K2" s="5"/>
      <c r="L2" s="5"/>
      <c r="M2" s="5"/>
      <c r="N2" s="5"/>
      <c r="O2" s="5"/>
      <c r="P2" s="5"/>
      <c r="Q2" s="5"/>
      <c r="R2" s="5"/>
      <c r="S2" s="5"/>
      <c r="T2" s="5"/>
      <c r="U2" s="5"/>
      <c r="V2" s="5"/>
      <c r="W2" s="5"/>
      <c r="X2" s="5"/>
      <c r="Y2" s="5"/>
      <c r="Z2" s="5"/>
    </row>
    <row r="3" ht="37.5" customHeight="1">
      <c r="A3" s="59" t="s">
        <v>237</v>
      </c>
      <c r="B3" s="3"/>
      <c r="C3" s="3"/>
      <c r="D3" s="3"/>
      <c r="E3" s="3"/>
      <c r="F3" s="3"/>
      <c r="G3" s="3"/>
      <c r="H3" s="3"/>
      <c r="I3" s="3"/>
      <c r="J3" s="3"/>
      <c r="K3" s="3"/>
      <c r="L3" s="3"/>
      <c r="M3" s="3"/>
      <c r="N3" s="3"/>
      <c r="O3" s="4"/>
      <c r="P3" s="5"/>
      <c r="Q3" s="5"/>
      <c r="R3" s="5"/>
      <c r="S3" s="5"/>
      <c r="T3" s="5"/>
      <c r="U3" s="5"/>
      <c r="V3" s="5"/>
      <c r="W3" s="5"/>
      <c r="X3" s="5"/>
      <c r="Y3" s="5"/>
      <c r="Z3" s="5"/>
    </row>
    <row r="4" ht="42.0" customHeight="1">
      <c r="A4" s="60" t="s">
        <v>238</v>
      </c>
      <c r="B4" s="3"/>
      <c r="C4" s="3"/>
      <c r="D4" s="3"/>
      <c r="E4" s="3"/>
      <c r="F4" s="3"/>
      <c r="G4" s="3"/>
      <c r="H4" s="3"/>
      <c r="I4" s="3"/>
      <c r="J4" s="3"/>
      <c r="K4" s="3"/>
      <c r="L4" s="3"/>
      <c r="M4" s="3"/>
      <c r="N4" s="3"/>
      <c r="O4" s="4"/>
      <c r="P4" s="5"/>
      <c r="Q4" s="5"/>
      <c r="R4" s="5"/>
      <c r="S4" s="5"/>
      <c r="T4" s="5"/>
      <c r="U4" s="5"/>
      <c r="V4" s="5"/>
      <c r="W4" s="5"/>
      <c r="X4" s="5"/>
      <c r="Y4" s="5"/>
      <c r="Z4" s="5"/>
    </row>
    <row r="5" ht="14.25" customHeight="1">
      <c r="A5" s="5"/>
      <c r="B5" s="5"/>
      <c r="C5" s="5"/>
      <c r="D5" s="5"/>
      <c r="E5" s="5"/>
      <c r="F5" s="5"/>
      <c r="G5" s="5"/>
      <c r="H5" s="5"/>
      <c r="I5" s="5"/>
      <c r="J5" s="5"/>
      <c r="K5" s="5"/>
      <c r="L5" s="5"/>
      <c r="M5" s="5"/>
      <c r="N5" s="5"/>
      <c r="O5" s="5"/>
      <c r="P5" s="5"/>
      <c r="Q5" s="5"/>
      <c r="R5" s="5"/>
      <c r="S5" s="5"/>
      <c r="T5" s="5"/>
      <c r="U5" s="5"/>
      <c r="V5" s="5"/>
      <c r="W5" s="5"/>
      <c r="X5" s="5"/>
      <c r="Y5" s="5"/>
      <c r="Z5" s="5"/>
    </row>
    <row r="6" ht="14.25" customHeight="1">
      <c r="A6" s="61" t="s">
        <v>239</v>
      </c>
      <c r="B6" s="62" t="s">
        <v>240</v>
      </c>
      <c r="C6" s="5"/>
      <c r="D6" s="5"/>
      <c r="E6" s="5"/>
      <c r="F6" s="5"/>
      <c r="G6" s="5"/>
      <c r="H6" s="5"/>
      <c r="I6" s="5"/>
      <c r="J6" s="5"/>
      <c r="K6" s="5"/>
      <c r="L6" s="5"/>
      <c r="M6" s="5"/>
      <c r="N6" s="5"/>
      <c r="O6" s="5"/>
      <c r="P6" s="5"/>
      <c r="Q6" s="5"/>
      <c r="R6" s="5"/>
      <c r="S6" s="5"/>
      <c r="T6" s="5"/>
      <c r="U6" s="5"/>
      <c r="V6" s="5"/>
      <c r="W6" s="5"/>
      <c r="X6" s="5"/>
      <c r="Y6" s="5"/>
      <c r="Z6" s="5"/>
    </row>
    <row r="7" ht="14.25" customHeight="1">
      <c r="A7" s="63" t="s">
        <v>241</v>
      </c>
      <c r="B7" s="64">
        <f>COUNTIF(F11:F40,"Hoàn thành &amp; demo được")</f>
        <v>19</v>
      </c>
      <c r="C7" s="5"/>
      <c r="D7" s="5"/>
      <c r="E7" s="5"/>
      <c r="F7" s="5"/>
      <c r="G7" s="5"/>
      <c r="H7" s="5"/>
      <c r="I7" s="5"/>
      <c r="J7" s="5"/>
      <c r="K7" s="5"/>
      <c r="L7" s="5"/>
      <c r="M7" s="5"/>
      <c r="N7" s="5"/>
      <c r="O7" s="5"/>
      <c r="P7" s="5"/>
      <c r="Q7" s="5"/>
      <c r="R7" s="5"/>
      <c r="S7" s="5"/>
      <c r="T7" s="5"/>
      <c r="U7" s="5"/>
      <c r="V7" s="5"/>
      <c r="W7" s="5"/>
      <c r="X7" s="5"/>
      <c r="Y7" s="5"/>
      <c r="Z7" s="5"/>
    </row>
    <row r="8" ht="14.25" customHeight="1">
      <c r="A8" s="65" t="s">
        <v>242</v>
      </c>
      <c r="B8" s="66">
        <f>COUNTIF(M11:M40,"Có")</f>
        <v>30</v>
      </c>
      <c r="C8" s="5"/>
      <c r="D8" s="5"/>
      <c r="E8" s="5"/>
      <c r="F8" s="5"/>
      <c r="G8" s="5"/>
      <c r="H8" s="5"/>
      <c r="I8" s="5"/>
      <c r="J8" s="5"/>
      <c r="K8" s="5"/>
      <c r="L8" s="5"/>
      <c r="M8" s="5"/>
      <c r="N8" s="5"/>
      <c r="O8" s="5"/>
      <c r="P8" s="5"/>
      <c r="Q8" s="5"/>
      <c r="R8" s="5"/>
      <c r="S8" s="5"/>
      <c r="T8" s="5"/>
      <c r="U8" s="5"/>
      <c r="V8" s="5"/>
      <c r="W8" s="5"/>
      <c r="X8" s="5"/>
      <c r="Y8" s="5"/>
      <c r="Z8" s="5"/>
    </row>
    <row r="9" ht="14.25" customHeight="1">
      <c r="A9" s="5"/>
      <c r="B9" s="5"/>
      <c r="C9" s="5"/>
      <c r="D9" s="5"/>
      <c r="E9" s="5"/>
      <c r="F9" s="5"/>
      <c r="G9" s="5"/>
      <c r="H9" s="5"/>
      <c r="I9" s="5"/>
      <c r="J9" s="5"/>
      <c r="K9" s="5"/>
      <c r="L9" s="5"/>
      <c r="M9" s="5"/>
      <c r="N9" s="5"/>
      <c r="O9" s="5"/>
      <c r="P9" s="5"/>
      <c r="Q9" s="5"/>
      <c r="R9" s="5"/>
      <c r="S9" s="5"/>
      <c r="T9" s="5"/>
      <c r="U9" s="5"/>
      <c r="V9" s="5"/>
      <c r="W9" s="5"/>
      <c r="X9" s="5"/>
      <c r="Y9" s="5"/>
      <c r="Z9" s="5"/>
    </row>
    <row r="10" ht="48.0" customHeight="1">
      <c r="A10" s="67" t="s">
        <v>7</v>
      </c>
      <c r="B10" s="67" t="s">
        <v>243</v>
      </c>
      <c r="C10" s="67" t="s">
        <v>244</v>
      </c>
      <c r="D10" s="67" t="s">
        <v>245</v>
      </c>
      <c r="E10" s="67" t="s">
        <v>246</v>
      </c>
      <c r="F10" s="67" t="s">
        <v>20</v>
      </c>
      <c r="G10" s="67" t="s">
        <v>247</v>
      </c>
      <c r="H10" s="67" t="s">
        <v>248</v>
      </c>
      <c r="I10" s="67" t="s">
        <v>249</v>
      </c>
      <c r="J10" s="67" t="s">
        <v>250</v>
      </c>
      <c r="K10" s="67" t="s">
        <v>251</v>
      </c>
      <c r="L10" s="67" t="s">
        <v>252</v>
      </c>
      <c r="M10" s="67" t="s">
        <v>253</v>
      </c>
      <c r="N10" s="67" t="s">
        <v>254</v>
      </c>
      <c r="O10" s="67" t="s">
        <v>255</v>
      </c>
      <c r="P10" s="5"/>
      <c r="Q10" s="5"/>
      <c r="R10" s="5"/>
      <c r="S10" s="5"/>
      <c r="T10" s="5"/>
      <c r="U10" s="5"/>
      <c r="V10" s="5"/>
      <c r="W10" s="5"/>
      <c r="X10" s="5"/>
      <c r="Y10" s="5"/>
      <c r="Z10" s="5"/>
    </row>
    <row r="11" ht="91.5" customHeight="1">
      <c r="A11" s="68">
        <v>1.0</v>
      </c>
      <c r="B11" s="69" t="s">
        <v>256</v>
      </c>
      <c r="C11" s="69" t="s">
        <v>257</v>
      </c>
      <c r="D11" s="69" t="s">
        <v>258</v>
      </c>
      <c r="E11" s="69" t="s">
        <v>259</v>
      </c>
      <c r="F11" s="70" t="s">
        <v>260</v>
      </c>
      <c r="G11" s="70" t="s">
        <v>261</v>
      </c>
      <c r="H11" s="70" t="s">
        <v>262</v>
      </c>
      <c r="I11" s="70" t="s">
        <v>263</v>
      </c>
      <c r="J11" s="71" t="s">
        <v>264</v>
      </c>
      <c r="K11" s="72" t="s">
        <v>265</v>
      </c>
      <c r="L11" s="70" t="s">
        <v>266</v>
      </c>
      <c r="M11" s="73" t="s">
        <v>267</v>
      </c>
      <c r="N11" s="74">
        <v>3.0</v>
      </c>
      <c r="O11" s="75"/>
      <c r="P11" s="5"/>
      <c r="Q11" s="5"/>
      <c r="R11" s="5"/>
      <c r="S11" s="5"/>
      <c r="T11" s="5"/>
      <c r="U11" s="5"/>
      <c r="V11" s="5"/>
      <c r="W11" s="5"/>
      <c r="X11" s="5"/>
      <c r="Y11" s="5"/>
      <c r="Z11" s="5"/>
    </row>
    <row r="12" ht="91.5" customHeight="1">
      <c r="A12" s="76">
        <v>2.0</v>
      </c>
      <c r="B12" s="77" t="s">
        <v>256</v>
      </c>
      <c r="C12" s="77" t="s">
        <v>268</v>
      </c>
      <c r="D12" s="77" t="s">
        <v>269</v>
      </c>
      <c r="E12" s="77" t="s">
        <v>270</v>
      </c>
      <c r="F12" s="78" t="s">
        <v>260</v>
      </c>
      <c r="G12" s="78" t="s">
        <v>271</v>
      </c>
      <c r="H12" s="78" t="s">
        <v>272</v>
      </c>
      <c r="I12" s="78" t="s">
        <v>263</v>
      </c>
      <c r="J12" s="79" t="s">
        <v>273</v>
      </c>
      <c r="K12" s="80" t="s">
        <v>274</v>
      </c>
      <c r="L12" s="78" t="s">
        <v>275</v>
      </c>
      <c r="M12" s="73" t="s">
        <v>267</v>
      </c>
      <c r="N12" s="81">
        <v>3.0</v>
      </c>
      <c r="O12" s="82"/>
      <c r="P12" s="5"/>
      <c r="Q12" s="5"/>
      <c r="R12" s="5"/>
      <c r="S12" s="5"/>
      <c r="T12" s="5"/>
      <c r="U12" s="5"/>
      <c r="V12" s="5"/>
      <c r="W12" s="5"/>
      <c r="X12" s="5"/>
      <c r="Y12" s="5"/>
      <c r="Z12" s="5"/>
    </row>
    <row r="13" ht="91.5" customHeight="1">
      <c r="A13" s="76">
        <v>3.0</v>
      </c>
      <c r="B13" s="77" t="s">
        <v>256</v>
      </c>
      <c r="C13" s="77" t="s">
        <v>276</v>
      </c>
      <c r="D13" s="77" t="s">
        <v>269</v>
      </c>
      <c r="E13" s="77" t="s">
        <v>277</v>
      </c>
      <c r="F13" s="80" t="s">
        <v>260</v>
      </c>
      <c r="G13" s="78" t="s">
        <v>278</v>
      </c>
      <c r="H13" s="78" t="s">
        <v>279</v>
      </c>
      <c r="I13" s="78" t="s">
        <v>280</v>
      </c>
      <c r="J13" s="79" t="s">
        <v>281</v>
      </c>
      <c r="K13" s="78" t="s">
        <v>282</v>
      </c>
      <c r="L13" s="78" t="s">
        <v>283</v>
      </c>
      <c r="M13" s="73" t="s">
        <v>267</v>
      </c>
      <c r="N13" s="81">
        <v>3.0</v>
      </c>
      <c r="O13" s="82"/>
      <c r="P13" s="5"/>
      <c r="Q13" s="5"/>
      <c r="R13" s="5"/>
      <c r="S13" s="5"/>
      <c r="T13" s="5"/>
      <c r="U13" s="5"/>
      <c r="V13" s="5"/>
      <c r="W13" s="5"/>
      <c r="X13" s="5"/>
      <c r="Y13" s="5"/>
      <c r="Z13" s="5"/>
    </row>
    <row r="14" ht="91.5" customHeight="1">
      <c r="A14" s="76">
        <v>4.0</v>
      </c>
      <c r="B14" s="77" t="s">
        <v>256</v>
      </c>
      <c r="C14" s="77" t="s">
        <v>284</v>
      </c>
      <c r="D14" s="77" t="s">
        <v>269</v>
      </c>
      <c r="E14" s="77" t="s">
        <v>285</v>
      </c>
      <c r="F14" s="80" t="s">
        <v>286</v>
      </c>
      <c r="G14" s="78" t="s">
        <v>287</v>
      </c>
      <c r="H14" s="78" t="s">
        <v>287</v>
      </c>
      <c r="I14" s="78" t="s">
        <v>287</v>
      </c>
      <c r="J14" s="83"/>
      <c r="K14" s="78" t="s">
        <v>288</v>
      </c>
      <c r="L14" s="78" t="s">
        <v>287</v>
      </c>
      <c r="M14" s="73" t="s">
        <v>267</v>
      </c>
      <c r="N14" s="81">
        <v>3.0</v>
      </c>
      <c r="O14" s="82"/>
      <c r="P14" s="5"/>
      <c r="Q14" s="5"/>
      <c r="R14" s="5"/>
      <c r="S14" s="5"/>
      <c r="T14" s="5"/>
      <c r="U14" s="5"/>
      <c r="V14" s="5"/>
      <c r="W14" s="5"/>
      <c r="X14" s="5"/>
      <c r="Y14" s="5"/>
      <c r="Z14" s="5"/>
    </row>
    <row r="15" ht="91.5" customHeight="1">
      <c r="A15" s="76">
        <v>5.0</v>
      </c>
      <c r="B15" s="77" t="s">
        <v>256</v>
      </c>
      <c r="C15" s="77" t="s">
        <v>289</v>
      </c>
      <c r="D15" s="77" t="s">
        <v>290</v>
      </c>
      <c r="E15" s="77" t="s">
        <v>291</v>
      </c>
      <c r="F15" s="78" t="s">
        <v>286</v>
      </c>
      <c r="G15" s="78" t="s">
        <v>287</v>
      </c>
      <c r="H15" s="78" t="s">
        <v>287</v>
      </c>
      <c r="I15" s="78" t="s">
        <v>287</v>
      </c>
      <c r="J15" s="83"/>
      <c r="K15" s="78" t="s">
        <v>288</v>
      </c>
      <c r="L15" s="78" t="s">
        <v>287</v>
      </c>
      <c r="M15" s="73" t="s">
        <v>267</v>
      </c>
      <c r="N15" s="81">
        <v>3.0</v>
      </c>
      <c r="O15" s="82"/>
      <c r="P15" s="5"/>
      <c r="Q15" s="5"/>
      <c r="R15" s="5"/>
      <c r="S15" s="5"/>
      <c r="T15" s="5"/>
      <c r="U15" s="5"/>
      <c r="V15" s="5"/>
      <c r="W15" s="5"/>
      <c r="X15" s="5"/>
      <c r="Y15" s="5"/>
      <c r="Z15" s="5"/>
    </row>
    <row r="16" ht="91.5" customHeight="1">
      <c r="A16" s="76">
        <v>6.0</v>
      </c>
      <c r="B16" s="77" t="s">
        <v>256</v>
      </c>
      <c r="C16" s="77" t="s">
        <v>292</v>
      </c>
      <c r="D16" s="77" t="s">
        <v>293</v>
      </c>
      <c r="E16" s="77" t="s">
        <v>294</v>
      </c>
      <c r="F16" s="78" t="s">
        <v>260</v>
      </c>
      <c r="G16" s="78" t="s">
        <v>295</v>
      </c>
      <c r="H16" s="78" t="s">
        <v>296</v>
      </c>
      <c r="I16" s="78" t="s">
        <v>297</v>
      </c>
      <c r="J16" s="79" t="s">
        <v>298</v>
      </c>
      <c r="K16" s="78" t="s">
        <v>299</v>
      </c>
      <c r="L16" s="78" t="s">
        <v>300</v>
      </c>
      <c r="M16" s="73" t="s">
        <v>267</v>
      </c>
      <c r="N16" s="81">
        <v>3.0</v>
      </c>
      <c r="O16" s="82"/>
      <c r="P16" s="5"/>
      <c r="Q16" s="5"/>
      <c r="R16" s="5"/>
      <c r="S16" s="5"/>
      <c r="T16" s="5"/>
      <c r="U16" s="5"/>
      <c r="V16" s="5"/>
      <c r="W16" s="5"/>
      <c r="X16" s="5"/>
      <c r="Y16" s="5"/>
      <c r="Z16" s="5"/>
    </row>
    <row r="17" ht="91.5" customHeight="1">
      <c r="A17" s="76">
        <v>7.0</v>
      </c>
      <c r="B17" s="77" t="s">
        <v>256</v>
      </c>
      <c r="C17" s="77" t="s">
        <v>301</v>
      </c>
      <c r="D17" s="77" t="s">
        <v>290</v>
      </c>
      <c r="E17" s="77" t="s">
        <v>302</v>
      </c>
      <c r="F17" s="84" t="s">
        <v>303</v>
      </c>
      <c r="G17" s="78" t="s">
        <v>287</v>
      </c>
      <c r="H17" s="78" t="s">
        <v>287</v>
      </c>
      <c r="I17" s="78" t="s">
        <v>287</v>
      </c>
      <c r="J17" s="79" t="s">
        <v>304</v>
      </c>
      <c r="K17" s="78" t="s">
        <v>288</v>
      </c>
      <c r="L17" s="78" t="s">
        <v>287</v>
      </c>
      <c r="M17" s="73" t="s">
        <v>267</v>
      </c>
      <c r="N17" s="81">
        <v>3.0</v>
      </c>
      <c r="O17" s="82"/>
      <c r="P17" s="5"/>
      <c r="Q17" s="5"/>
      <c r="R17" s="5"/>
      <c r="S17" s="5"/>
      <c r="T17" s="5"/>
      <c r="U17" s="5"/>
      <c r="V17" s="5"/>
      <c r="W17" s="5"/>
      <c r="X17" s="5"/>
      <c r="Y17" s="5"/>
      <c r="Z17" s="5"/>
    </row>
    <row r="18" ht="91.5" customHeight="1">
      <c r="A18" s="76">
        <v>8.0</v>
      </c>
      <c r="B18" s="77" t="s">
        <v>256</v>
      </c>
      <c r="C18" s="77" t="s">
        <v>305</v>
      </c>
      <c r="D18" s="77" t="s">
        <v>290</v>
      </c>
      <c r="E18" s="77" t="s">
        <v>306</v>
      </c>
      <c r="F18" s="84" t="s">
        <v>303</v>
      </c>
      <c r="G18" s="78" t="s">
        <v>287</v>
      </c>
      <c r="H18" s="78" t="s">
        <v>287</v>
      </c>
      <c r="I18" s="78" t="s">
        <v>287</v>
      </c>
      <c r="J18" s="79" t="s">
        <v>273</v>
      </c>
      <c r="K18" s="78" t="s">
        <v>288</v>
      </c>
      <c r="L18" s="78" t="s">
        <v>287</v>
      </c>
      <c r="M18" s="73" t="s">
        <v>267</v>
      </c>
      <c r="N18" s="81">
        <v>3.0</v>
      </c>
      <c r="O18" s="82"/>
      <c r="P18" s="5"/>
      <c r="Q18" s="5"/>
      <c r="R18" s="5"/>
      <c r="S18" s="5"/>
      <c r="T18" s="5"/>
      <c r="U18" s="5"/>
      <c r="V18" s="5"/>
      <c r="W18" s="5"/>
      <c r="X18" s="5"/>
      <c r="Y18" s="5"/>
      <c r="Z18" s="5"/>
    </row>
    <row r="19" ht="91.5" customHeight="1">
      <c r="A19" s="76">
        <v>9.0</v>
      </c>
      <c r="B19" s="77" t="s">
        <v>256</v>
      </c>
      <c r="C19" s="77" t="s">
        <v>307</v>
      </c>
      <c r="D19" s="77" t="s">
        <v>290</v>
      </c>
      <c r="E19" s="77" t="s">
        <v>308</v>
      </c>
      <c r="F19" s="78" t="s">
        <v>260</v>
      </c>
      <c r="G19" s="78" t="s">
        <v>309</v>
      </c>
      <c r="H19" s="78" t="s">
        <v>310</v>
      </c>
      <c r="I19" s="78" t="s">
        <v>311</v>
      </c>
      <c r="J19" s="79" t="s">
        <v>188</v>
      </c>
      <c r="K19" s="78" t="s">
        <v>312</v>
      </c>
      <c r="L19" s="78" t="s">
        <v>313</v>
      </c>
      <c r="M19" s="73" t="s">
        <v>267</v>
      </c>
      <c r="N19" s="81">
        <v>3.0</v>
      </c>
      <c r="O19" s="82"/>
      <c r="P19" s="5"/>
      <c r="Q19" s="5"/>
      <c r="R19" s="5"/>
      <c r="S19" s="5"/>
      <c r="T19" s="5"/>
      <c r="U19" s="5"/>
      <c r="V19" s="5"/>
      <c r="W19" s="5"/>
      <c r="X19" s="5"/>
      <c r="Y19" s="5"/>
      <c r="Z19" s="5"/>
    </row>
    <row r="20" ht="91.5" customHeight="1">
      <c r="A20" s="76">
        <v>10.0</v>
      </c>
      <c r="B20" s="85" t="s">
        <v>314</v>
      </c>
      <c r="C20" s="85" t="s">
        <v>315</v>
      </c>
      <c r="D20" s="85" t="s">
        <v>316</v>
      </c>
      <c r="E20" s="85" t="s">
        <v>317</v>
      </c>
      <c r="F20" s="78" t="s">
        <v>260</v>
      </c>
      <c r="G20" s="78" t="s">
        <v>318</v>
      </c>
      <c r="H20" s="78" t="s">
        <v>319</v>
      </c>
      <c r="I20" s="78" t="s">
        <v>320</v>
      </c>
      <c r="J20" s="79" t="s">
        <v>321</v>
      </c>
      <c r="K20" s="78" t="s">
        <v>322</v>
      </c>
      <c r="L20" s="78" t="s">
        <v>323</v>
      </c>
      <c r="M20" s="73" t="s">
        <v>267</v>
      </c>
      <c r="N20" s="81">
        <v>3.0</v>
      </c>
      <c r="O20" s="82"/>
      <c r="P20" s="5"/>
      <c r="Q20" s="5"/>
      <c r="R20" s="5"/>
      <c r="S20" s="5"/>
      <c r="T20" s="5"/>
      <c r="U20" s="5"/>
      <c r="V20" s="5"/>
      <c r="W20" s="5"/>
      <c r="X20" s="5"/>
      <c r="Y20" s="5"/>
      <c r="Z20" s="5"/>
    </row>
    <row r="21" ht="91.5" customHeight="1">
      <c r="A21" s="76">
        <v>11.0</v>
      </c>
      <c r="B21" s="85" t="s">
        <v>314</v>
      </c>
      <c r="C21" s="85" t="s">
        <v>324</v>
      </c>
      <c r="D21" s="85" t="s">
        <v>316</v>
      </c>
      <c r="E21" s="85" t="s">
        <v>325</v>
      </c>
      <c r="F21" s="78" t="s">
        <v>260</v>
      </c>
      <c r="G21" s="78" t="s">
        <v>326</v>
      </c>
      <c r="H21" s="78" t="s">
        <v>327</v>
      </c>
      <c r="I21" s="78" t="s">
        <v>328</v>
      </c>
      <c r="J21" s="79" t="s">
        <v>329</v>
      </c>
      <c r="K21" s="78" t="s">
        <v>330</v>
      </c>
      <c r="L21" s="78" t="s">
        <v>331</v>
      </c>
      <c r="M21" s="73" t="s">
        <v>267</v>
      </c>
      <c r="N21" s="81">
        <v>3.0</v>
      </c>
      <c r="O21" s="82"/>
      <c r="P21" s="5"/>
      <c r="Q21" s="5"/>
      <c r="R21" s="5"/>
      <c r="S21" s="5"/>
      <c r="T21" s="5"/>
      <c r="U21" s="5"/>
      <c r="V21" s="5"/>
      <c r="W21" s="5"/>
      <c r="X21" s="5"/>
      <c r="Y21" s="5"/>
      <c r="Z21" s="5"/>
    </row>
    <row r="22" ht="91.5" customHeight="1">
      <c r="A22" s="76">
        <v>12.0</v>
      </c>
      <c r="B22" s="85" t="s">
        <v>314</v>
      </c>
      <c r="C22" s="85" t="s">
        <v>332</v>
      </c>
      <c r="D22" s="85" t="s">
        <v>316</v>
      </c>
      <c r="E22" s="85" t="s">
        <v>333</v>
      </c>
      <c r="F22" s="78" t="s">
        <v>260</v>
      </c>
      <c r="G22" s="78" t="s">
        <v>334</v>
      </c>
      <c r="H22" s="78" t="s">
        <v>335</v>
      </c>
      <c r="I22" s="78" t="s">
        <v>328</v>
      </c>
      <c r="J22" s="79" t="s">
        <v>329</v>
      </c>
      <c r="K22" s="78" t="s">
        <v>336</v>
      </c>
      <c r="L22" s="78" t="s">
        <v>337</v>
      </c>
      <c r="M22" s="73" t="s">
        <v>267</v>
      </c>
      <c r="N22" s="81">
        <v>3.0</v>
      </c>
      <c r="O22" s="82"/>
      <c r="P22" s="5"/>
      <c r="Q22" s="5"/>
      <c r="R22" s="5"/>
      <c r="S22" s="5"/>
      <c r="T22" s="5"/>
      <c r="U22" s="5"/>
      <c r="V22" s="5"/>
      <c r="W22" s="5"/>
      <c r="X22" s="5"/>
      <c r="Y22" s="5"/>
      <c r="Z22" s="5"/>
    </row>
    <row r="23" ht="91.5" customHeight="1">
      <c r="A23" s="76">
        <v>13.0</v>
      </c>
      <c r="B23" s="85" t="s">
        <v>314</v>
      </c>
      <c r="C23" s="85" t="s">
        <v>338</v>
      </c>
      <c r="D23" s="85" t="s">
        <v>316</v>
      </c>
      <c r="E23" s="85" t="s">
        <v>339</v>
      </c>
      <c r="F23" s="78" t="s">
        <v>286</v>
      </c>
      <c r="G23" s="78" t="s">
        <v>340</v>
      </c>
      <c r="H23" s="78" t="s">
        <v>341</v>
      </c>
      <c r="I23" s="78" t="s">
        <v>287</v>
      </c>
      <c r="J23" s="79" t="s">
        <v>342</v>
      </c>
      <c r="K23" s="78" t="s">
        <v>288</v>
      </c>
      <c r="L23" s="78" t="s">
        <v>287</v>
      </c>
      <c r="M23" s="73" t="s">
        <v>267</v>
      </c>
      <c r="N23" s="81">
        <v>3.0</v>
      </c>
      <c r="O23" s="82"/>
      <c r="P23" s="5"/>
      <c r="Q23" s="5"/>
      <c r="R23" s="5"/>
      <c r="S23" s="5"/>
      <c r="T23" s="5"/>
      <c r="U23" s="5"/>
      <c r="V23" s="5"/>
      <c r="W23" s="5"/>
      <c r="X23" s="5"/>
      <c r="Y23" s="5"/>
      <c r="Z23" s="5"/>
    </row>
    <row r="24" ht="91.5" customHeight="1">
      <c r="A24" s="76">
        <v>14.0</v>
      </c>
      <c r="B24" s="85" t="s">
        <v>314</v>
      </c>
      <c r="C24" s="85" t="s">
        <v>343</v>
      </c>
      <c r="D24" s="85" t="s">
        <v>316</v>
      </c>
      <c r="E24" s="85" t="s">
        <v>344</v>
      </c>
      <c r="F24" s="80" t="s">
        <v>260</v>
      </c>
      <c r="G24" s="78" t="s">
        <v>345</v>
      </c>
      <c r="H24" s="78" t="s">
        <v>346</v>
      </c>
      <c r="I24" s="78" t="s">
        <v>347</v>
      </c>
      <c r="J24" s="79" t="s">
        <v>348</v>
      </c>
      <c r="K24" s="78" t="s">
        <v>349</v>
      </c>
      <c r="L24" s="78" t="s">
        <v>350</v>
      </c>
      <c r="M24" s="73" t="s">
        <v>267</v>
      </c>
      <c r="N24" s="81">
        <v>3.0</v>
      </c>
      <c r="O24" s="82"/>
      <c r="P24" s="5"/>
      <c r="Q24" s="5"/>
      <c r="R24" s="5"/>
      <c r="S24" s="5"/>
      <c r="T24" s="5"/>
      <c r="U24" s="5"/>
      <c r="V24" s="5"/>
      <c r="W24" s="5"/>
      <c r="X24" s="5"/>
      <c r="Y24" s="5"/>
      <c r="Z24" s="5"/>
    </row>
    <row r="25" ht="91.5" customHeight="1">
      <c r="A25" s="76">
        <v>15.0</v>
      </c>
      <c r="B25" s="86" t="s">
        <v>351</v>
      </c>
      <c r="C25" s="86" t="s">
        <v>352</v>
      </c>
      <c r="D25" s="86" t="s">
        <v>316</v>
      </c>
      <c r="E25" s="86" t="s">
        <v>353</v>
      </c>
      <c r="F25" s="78" t="s">
        <v>260</v>
      </c>
      <c r="G25" s="78" t="s">
        <v>354</v>
      </c>
      <c r="H25" s="78" t="s">
        <v>355</v>
      </c>
      <c r="I25" s="78" t="s">
        <v>356</v>
      </c>
      <c r="J25" s="79" t="s">
        <v>357</v>
      </c>
      <c r="K25" s="78" t="s">
        <v>358</v>
      </c>
      <c r="L25" s="78" t="s">
        <v>359</v>
      </c>
      <c r="M25" s="73" t="s">
        <v>267</v>
      </c>
      <c r="N25" s="81">
        <v>3.0</v>
      </c>
      <c r="O25" s="82"/>
      <c r="P25" s="5"/>
      <c r="Q25" s="5"/>
      <c r="R25" s="5"/>
      <c r="S25" s="5"/>
      <c r="T25" s="5"/>
      <c r="U25" s="5"/>
      <c r="V25" s="5"/>
      <c r="W25" s="5"/>
      <c r="X25" s="5"/>
      <c r="Y25" s="5"/>
      <c r="Z25" s="5"/>
    </row>
    <row r="26" ht="91.5" customHeight="1">
      <c r="A26" s="76">
        <v>16.0</v>
      </c>
      <c r="B26" s="86" t="s">
        <v>351</v>
      </c>
      <c r="C26" s="86" t="s">
        <v>360</v>
      </c>
      <c r="D26" s="86" t="s">
        <v>361</v>
      </c>
      <c r="E26" s="86" t="s">
        <v>362</v>
      </c>
      <c r="F26" s="78" t="s">
        <v>260</v>
      </c>
      <c r="G26" s="78" t="s">
        <v>363</v>
      </c>
      <c r="H26" s="78" t="s">
        <v>364</v>
      </c>
      <c r="I26" s="78" t="s">
        <v>365</v>
      </c>
      <c r="J26" s="79" t="s">
        <v>366</v>
      </c>
      <c r="K26" s="78" t="s">
        <v>367</v>
      </c>
      <c r="L26" s="78" t="s">
        <v>368</v>
      </c>
      <c r="M26" s="73" t="s">
        <v>267</v>
      </c>
      <c r="N26" s="81">
        <v>3.0</v>
      </c>
      <c r="O26" s="82"/>
      <c r="P26" s="5"/>
      <c r="Q26" s="5"/>
      <c r="R26" s="5"/>
      <c r="S26" s="5"/>
      <c r="T26" s="5"/>
      <c r="U26" s="5"/>
      <c r="V26" s="5"/>
      <c r="W26" s="5"/>
      <c r="X26" s="5"/>
      <c r="Y26" s="5"/>
      <c r="Z26" s="5"/>
    </row>
    <row r="27" ht="91.5" customHeight="1">
      <c r="A27" s="76">
        <v>17.0</v>
      </c>
      <c r="B27" s="87" t="s">
        <v>369</v>
      </c>
      <c r="C27" s="87" t="s">
        <v>370</v>
      </c>
      <c r="D27" s="87" t="s">
        <v>371</v>
      </c>
      <c r="E27" s="87" t="s">
        <v>372</v>
      </c>
      <c r="F27" s="78" t="s">
        <v>260</v>
      </c>
      <c r="G27" s="78" t="s">
        <v>373</v>
      </c>
      <c r="H27" s="78" t="s">
        <v>374</v>
      </c>
      <c r="I27" s="78" t="s">
        <v>375</v>
      </c>
      <c r="J27" s="79" t="s">
        <v>204</v>
      </c>
      <c r="K27" s="78" t="s">
        <v>376</v>
      </c>
      <c r="L27" s="78" t="s">
        <v>377</v>
      </c>
      <c r="M27" s="73" t="s">
        <v>267</v>
      </c>
      <c r="N27" s="81">
        <v>3.0</v>
      </c>
      <c r="O27" s="82"/>
      <c r="P27" s="5"/>
      <c r="Q27" s="5"/>
      <c r="R27" s="5"/>
      <c r="S27" s="5"/>
      <c r="T27" s="5"/>
      <c r="U27" s="5"/>
      <c r="V27" s="5"/>
      <c r="W27" s="5"/>
      <c r="X27" s="5"/>
      <c r="Y27" s="5"/>
      <c r="Z27" s="5"/>
    </row>
    <row r="28" ht="91.5" customHeight="1">
      <c r="A28" s="76">
        <v>18.0</v>
      </c>
      <c r="B28" s="87" t="s">
        <v>369</v>
      </c>
      <c r="C28" s="87" t="s">
        <v>378</v>
      </c>
      <c r="D28" s="87" t="s">
        <v>316</v>
      </c>
      <c r="E28" s="87" t="s">
        <v>379</v>
      </c>
      <c r="F28" s="78" t="s">
        <v>286</v>
      </c>
      <c r="G28" s="78" t="s">
        <v>340</v>
      </c>
      <c r="H28" s="78" t="s">
        <v>341</v>
      </c>
      <c r="I28" s="78" t="s">
        <v>287</v>
      </c>
      <c r="J28" s="79" t="s">
        <v>380</v>
      </c>
      <c r="K28" s="78" t="s">
        <v>288</v>
      </c>
      <c r="L28" s="78" t="s">
        <v>287</v>
      </c>
      <c r="M28" s="73" t="s">
        <v>267</v>
      </c>
      <c r="N28" s="81">
        <v>3.0</v>
      </c>
      <c r="O28" s="82"/>
      <c r="P28" s="5"/>
      <c r="Q28" s="5"/>
      <c r="R28" s="5"/>
      <c r="S28" s="5"/>
      <c r="T28" s="5"/>
      <c r="U28" s="5"/>
      <c r="V28" s="5"/>
      <c r="W28" s="5"/>
      <c r="X28" s="5"/>
      <c r="Y28" s="5"/>
      <c r="Z28" s="5"/>
    </row>
    <row r="29" ht="91.5" customHeight="1">
      <c r="A29" s="76">
        <v>19.0</v>
      </c>
      <c r="B29" s="87" t="s">
        <v>369</v>
      </c>
      <c r="C29" s="87" t="s">
        <v>381</v>
      </c>
      <c r="D29" s="87" t="s">
        <v>316</v>
      </c>
      <c r="E29" s="87" t="s">
        <v>382</v>
      </c>
      <c r="F29" s="78" t="s">
        <v>286</v>
      </c>
      <c r="G29" s="78" t="s">
        <v>340</v>
      </c>
      <c r="H29" s="78" t="s">
        <v>341</v>
      </c>
      <c r="I29" s="78" t="s">
        <v>287</v>
      </c>
      <c r="J29" s="79" t="s">
        <v>380</v>
      </c>
      <c r="K29" s="78" t="s">
        <v>288</v>
      </c>
      <c r="L29" s="78" t="s">
        <v>287</v>
      </c>
      <c r="M29" s="73" t="s">
        <v>267</v>
      </c>
      <c r="N29" s="81">
        <v>3.0</v>
      </c>
      <c r="O29" s="82"/>
      <c r="P29" s="5"/>
      <c r="Q29" s="5"/>
      <c r="R29" s="5"/>
      <c r="S29" s="5"/>
      <c r="T29" s="5"/>
      <c r="U29" s="5"/>
      <c r="V29" s="5"/>
      <c r="W29" s="5"/>
      <c r="X29" s="5"/>
      <c r="Y29" s="5"/>
      <c r="Z29" s="5"/>
    </row>
    <row r="30" ht="91.5" customHeight="1">
      <c r="A30" s="76">
        <v>20.0</v>
      </c>
      <c r="B30" s="88" t="s">
        <v>383</v>
      </c>
      <c r="C30" s="88" t="s">
        <v>384</v>
      </c>
      <c r="D30" s="88" t="s">
        <v>316</v>
      </c>
      <c r="E30" s="88" t="s">
        <v>385</v>
      </c>
      <c r="F30" s="84" t="s">
        <v>386</v>
      </c>
      <c r="G30" s="78" t="s">
        <v>387</v>
      </c>
      <c r="H30" s="78" t="s">
        <v>388</v>
      </c>
      <c r="I30" s="78" t="s">
        <v>287</v>
      </c>
      <c r="J30" s="79" t="s">
        <v>389</v>
      </c>
      <c r="K30" s="78" t="s">
        <v>288</v>
      </c>
      <c r="L30" s="78" t="s">
        <v>287</v>
      </c>
      <c r="M30" s="73" t="s">
        <v>267</v>
      </c>
      <c r="N30" s="81">
        <v>3.0</v>
      </c>
      <c r="O30" s="82"/>
      <c r="P30" s="5"/>
      <c r="Q30" s="5"/>
      <c r="R30" s="5"/>
      <c r="S30" s="5"/>
      <c r="T30" s="5"/>
      <c r="U30" s="5"/>
      <c r="V30" s="5"/>
      <c r="W30" s="5"/>
      <c r="X30" s="5"/>
      <c r="Y30" s="5"/>
      <c r="Z30" s="5"/>
    </row>
    <row r="31" ht="91.5" customHeight="1">
      <c r="A31" s="76">
        <v>21.0</v>
      </c>
      <c r="B31" s="88" t="s">
        <v>383</v>
      </c>
      <c r="C31" s="88" t="s">
        <v>390</v>
      </c>
      <c r="D31" s="88" t="s">
        <v>316</v>
      </c>
      <c r="E31" s="88" t="s">
        <v>391</v>
      </c>
      <c r="F31" s="84" t="s">
        <v>386</v>
      </c>
      <c r="G31" s="78" t="s">
        <v>392</v>
      </c>
      <c r="H31" s="78" t="s">
        <v>393</v>
      </c>
      <c r="I31" s="78" t="s">
        <v>394</v>
      </c>
      <c r="J31" s="79" t="s">
        <v>395</v>
      </c>
      <c r="K31" s="78" t="s">
        <v>396</v>
      </c>
      <c r="L31" s="78" t="s">
        <v>397</v>
      </c>
      <c r="M31" s="73" t="s">
        <v>267</v>
      </c>
      <c r="N31" s="81">
        <v>3.0</v>
      </c>
      <c r="O31" s="82"/>
      <c r="P31" s="5"/>
      <c r="Q31" s="5"/>
      <c r="R31" s="5"/>
      <c r="S31" s="5"/>
      <c r="T31" s="5"/>
      <c r="U31" s="5"/>
      <c r="V31" s="5"/>
      <c r="W31" s="5"/>
      <c r="X31" s="5"/>
      <c r="Y31" s="5"/>
      <c r="Z31" s="5"/>
    </row>
    <row r="32" ht="91.5" customHeight="1">
      <c r="A32" s="76">
        <v>22.0</v>
      </c>
      <c r="B32" s="88" t="s">
        <v>383</v>
      </c>
      <c r="C32" s="88" t="s">
        <v>398</v>
      </c>
      <c r="D32" s="88" t="s">
        <v>399</v>
      </c>
      <c r="E32" s="88" t="s">
        <v>400</v>
      </c>
      <c r="F32" s="78" t="s">
        <v>260</v>
      </c>
      <c r="G32" s="78" t="s">
        <v>401</v>
      </c>
      <c r="H32" s="78" t="s">
        <v>402</v>
      </c>
      <c r="I32" s="78" t="s">
        <v>403</v>
      </c>
      <c r="J32" s="79" t="s">
        <v>151</v>
      </c>
      <c r="K32" s="78" t="s">
        <v>404</v>
      </c>
      <c r="L32" s="78" t="s">
        <v>405</v>
      </c>
      <c r="M32" s="73" t="s">
        <v>267</v>
      </c>
      <c r="N32" s="81">
        <v>3.0</v>
      </c>
      <c r="O32" s="82"/>
      <c r="P32" s="5"/>
      <c r="Q32" s="5"/>
      <c r="R32" s="5"/>
      <c r="S32" s="5"/>
      <c r="T32" s="5"/>
      <c r="U32" s="5"/>
      <c r="V32" s="5"/>
      <c r="W32" s="5"/>
      <c r="X32" s="5"/>
      <c r="Y32" s="5"/>
      <c r="Z32" s="5"/>
    </row>
    <row r="33" ht="91.5" customHeight="1">
      <c r="A33" s="76">
        <v>23.0</v>
      </c>
      <c r="B33" s="88" t="s">
        <v>383</v>
      </c>
      <c r="C33" s="88" t="s">
        <v>406</v>
      </c>
      <c r="D33" s="88" t="s">
        <v>316</v>
      </c>
      <c r="E33" s="88" t="s">
        <v>407</v>
      </c>
      <c r="F33" s="78" t="s">
        <v>286</v>
      </c>
      <c r="G33" s="78" t="s">
        <v>408</v>
      </c>
      <c r="H33" s="78" t="s">
        <v>409</v>
      </c>
      <c r="I33" s="78" t="s">
        <v>410</v>
      </c>
      <c r="J33" s="79" t="s">
        <v>411</v>
      </c>
      <c r="K33" s="78" t="s">
        <v>412</v>
      </c>
      <c r="L33" s="78" t="s">
        <v>413</v>
      </c>
      <c r="M33" s="73" t="s">
        <v>267</v>
      </c>
      <c r="N33" s="81">
        <v>3.0</v>
      </c>
      <c r="O33" s="82"/>
      <c r="P33" s="5"/>
      <c r="Q33" s="5"/>
      <c r="R33" s="5"/>
      <c r="S33" s="5"/>
      <c r="T33" s="5"/>
      <c r="U33" s="5"/>
      <c r="V33" s="5"/>
      <c r="W33" s="5"/>
      <c r="X33" s="5"/>
      <c r="Y33" s="5"/>
      <c r="Z33" s="5"/>
    </row>
    <row r="34" ht="91.5" customHeight="1">
      <c r="A34" s="76">
        <v>24.0</v>
      </c>
      <c r="B34" s="88" t="s">
        <v>383</v>
      </c>
      <c r="C34" s="88" t="s">
        <v>414</v>
      </c>
      <c r="D34" s="88" t="s">
        <v>316</v>
      </c>
      <c r="E34" s="88" t="s">
        <v>415</v>
      </c>
      <c r="F34" s="80" t="s">
        <v>260</v>
      </c>
      <c r="G34" s="78" t="s">
        <v>416</v>
      </c>
      <c r="H34" s="78" t="s">
        <v>417</v>
      </c>
      <c r="I34" s="78" t="s">
        <v>418</v>
      </c>
      <c r="J34" s="79" t="s">
        <v>419</v>
      </c>
      <c r="K34" s="78" t="s">
        <v>420</v>
      </c>
      <c r="L34" s="78" t="s">
        <v>421</v>
      </c>
      <c r="M34" s="73" t="s">
        <v>267</v>
      </c>
      <c r="N34" s="81">
        <v>3.0</v>
      </c>
      <c r="O34" s="82"/>
      <c r="P34" s="5"/>
      <c r="Q34" s="5"/>
      <c r="R34" s="5"/>
      <c r="S34" s="5"/>
      <c r="T34" s="5"/>
      <c r="U34" s="5"/>
      <c r="V34" s="5"/>
      <c r="W34" s="5"/>
      <c r="X34" s="5"/>
      <c r="Y34" s="5"/>
      <c r="Z34" s="5"/>
    </row>
    <row r="35" ht="91.5" customHeight="1">
      <c r="A35" s="76">
        <v>25.0</v>
      </c>
      <c r="B35" s="88" t="s">
        <v>383</v>
      </c>
      <c r="C35" s="88" t="s">
        <v>422</v>
      </c>
      <c r="D35" s="88" t="s">
        <v>316</v>
      </c>
      <c r="E35" s="88" t="s">
        <v>423</v>
      </c>
      <c r="F35" s="80" t="s">
        <v>386</v>
      </c>
      <c r="G35" s="78" t="s">
        <v>424</v>
      </c>
      <c r="H35" s="78" t="s">
        <v>425</v>
      </c>
      <c r="I35" s="78" t="s">
        <v>426</v>
      </c>
      <c r="J35" s="79" t="s">
        <v>427</v>
      </c>
      <c r="K35" s="78" t="s">
        <v>428</v>
      </c>
      <c r="L35" s="78" t="s">
        <v>287</v>
      </c>
      <c r="M35" s="73" t="s">
        <v>267</v>
      </c>
      <c r="N35" s="81">
        <v>3.0</v>
      </c>
      <c r="O35" s="82"/>
      <c r="P35" s="5"/>
      <c r="Q35" s="5"/>
      <c r="R35" s="5"/>
      <c r="S35" s="5"/>
      <c r="T35" s="5"/>
      <c r="U35" s="5"/>
      <c r="V35" s="5"/>
      <c r="W35" s="5"/>
      <c r="X35" s="5"/>
      <c r="Y35" s="5"/>
      <c r="Z35" s="5"/>
    </row>
    <row r="36" ht="91.5" customHeight="1">
      <c r="A36" s="76">
        <v>26.0</v>
      </c>
      <c r="B36" s="88" t="s">
        <v>383</v>
      </c>
      <c r="C36" s="88" t="s">
        <v>429</v>
      </c>
      <c r="D36" s="88" t="s">
        <v>430</v>
      </c>
      <c r="E36" s="88" t="s">
        <v>431</v>
      </c>
      <c r="F36" s="78" t="s">
        <v>260</v>
      </c>
      <c r="G36" s="78" t="s">
        <v>432</v>
      </c>
      <c r="H36" s="78" t="s">
        <v>433</v>
      </c>
      <c r="I36" s="78" t="s">
        <v>434</v>
      </c>
      <c r="J36" s="79" t="s">
        <v>139</v>
      </c>
      <c r="K36" s="78" t="s">
        <v>435</v>
      </c>
      <c r="L36" s="78" t="s">
        <v>436</v>
      </c>
      <c r="M36" s="73" t="s">
        <v>267</v>
      </c>
      <c r="N36" s="81">
        <v>3.0</v>
      </c>
      <c r="O36" s="82"/>
      <c r="P36" s="5"/>
      <c r="Q36" s="5"/>
      <c r="R36" s="5"/>
      <c r="S36" s="5"/>
      <c r="T36" s="5"/>
      <c r="U36" s="5"/>
      <c r="V36" s="5"/>
      <c r="W36" s="5"/>
      <c r="X36" s="5"/>
      <c r="Y36" s="5"/>
      <c r="Z36" s="5"/>
    </row>
    <row r="37" ht="91.5" customHeight="1">
      <c r="A37" s="76">
        <v>27.0</v>
      </c>
      <c r="B37" s="89" t="s">
        <v>437</v>
      </c>
      <c r="C37" s="89" t="s">
        <v>438</v>
      </c>
      <c r="D37" s="89" t="s">
        <v>439</v>
      </c>
      <c r="E37" s="89" t="s">
        <v>440</v>
      </c>
      <c r="F37" s="78" t="s">
        <v>260</v>
      </c>
      <c r="G37" s="78" t="s">
        <v>441</v>
      </c>
      <c r="H37" s="78" t="s">
        <v>442</v>
      </c>
      <c r="I37" s="78" t="s">
        <v>443</v>
      </c>
      <c r="J37" s="79" t="s">
        <v>444</v>
      </c>
      <c r="K37" s="78" t="s">
        <v>445</v>
      </c>
      <c r="L37" s="78" t="s">
        <v>446</v>
      </c>
      <c r="M37" s="73" t="s">
        <v>267</v>
      </c>
      <c r="N37" s="81">
        <v>3.0</v>
      </c>
      <c r="O37" s="82"/>
      <c r="P37" s="5"/>
      <c r="Q37" s="5"/>
      <c r="R37" s="5"/>
      <c r="S37" s="5"/>
      <c r="T37" s="5"/>
      <c r="U37" s="5"/>
      <c r="V37" s="5"/>
      <c r="W37" s="5"/>
      <c r="X37" s="5"/>
      <c r="Y37" s="5"/>
      <c r="Z37" s="5"/>
    </row>
    <row r="38" ht="91.5" customHeight="1">
      <c r="A38" s="76">
        <v>28.0</v>
      </c>
      <c r="B38" s="89" t="s">
        <v>437</v>
      </c>
      <c r="C38" s="89" t="s">
        <v>447</v>
      </c>
      <c r="D38" s="89" t="s">
        <v>448</v>
      </c>
      <c r="E38" s="89" t="s">
        <v>449</v>
      </c>
      <c r="F38" s="78" t="s">
        <v>260</v>
      </c>
      <c r="G38" s="78" t="s">
        <v>450</v>
      </c>
      <c r="H38" s="78" t="s">
        <v>451</v>
      </c>
      <c r="I38" s="78" t="s">
        <v>452</v>
      </c>
      <c r="J38" s="79" t="s">
        <v>163</v>
      </c>
      <c r="K38" s="78" t="s">
        <v>453</v>
      </c>
      <c r="L38" s="78" t="s">
        <v>454</v>
      </c>
      <c r="M38" s="73" t="s">
        <v>267</v>
      </c>
      <c r="N38" s="81">
        <v>3.0</v>
      </c>
      <c r="O38" s="82"/>
      <c r="P38" s="5"/>
      <c r="Q38" s="5"/>
      <c r="R38" s="5"/>
      <c r="S38" s="5"/>
      <c r="T38" s="5"/>
      <c r="U38" s="5"/>
      <c r="V38" s="5"/>
      <c r="W38" s="5"/>
      <c r="X38" s="5"/>
      <c r="Y38" s="5"/>
      <c r="Z38" s="5"/>
    </row>
    <row r="39" ht="91.5" customHeight="1">
      <c r="A39" s="76">
        <v>29.0</v>
      </c>
      <c r="B39" s="89" t="s">
        <v>437</v>
      </c>
      <c r="C39" s="89" t="s">
        <v>455</v>
      </c>
      <c r="D39" s="89" t="s">
        <v>456</v>
      </c>
      <c r="E39" s="89" t="s">
        <v>457</v>
      </c>
      <c r="F39" s="78" t="s">
        <v>260</v>
      </c>
      <c r="G39" s="78" t="s">
        <v>458</v>
      </c>
      <c r="H39" s="78" t="s">
        <v>459</v>
      </c>
      <c r="I39" s="78" t="s">
        <v>460</v>
      </c>
      <c r="J39" s="79" t="s">
        <v>395</v>
      </c>
      <c r="K39" s="78" t="s">
        <v>461</v>
      </c>
      <c r="L39" s="78" t="s">
        <v>462</v>
      </c>
      <c r="M39" s="73" t="s">
        <v>267</v>
      </c>
      <c r="N39" s="81">
        <v>3.0</v>
      </c>
      <c r="O39" s="82"/>
      <c r="P39" s="5"/>
      <c r="Q39" s="5"/>
      <c r="R39" s="5"/>
      <c r="S39" s="5"/>
      <c r="T39" s="5"/>
      <c r="U39" s="5"/>
      <c r="V39" s="5"/>
      <c r="W39" s="5"/>
      <c r="X39" s="5"/>
      <c r="Y39" s="5"/>
      <c r="Z39" s="5"/>
    </row>
    <row r="40" ht="91.5" customHeight="1">
      <c r="A40" s="90">
        <v>30.0</v>
      </c>
      <c r="B40" s="91" t="s">
        <v>437</v>
      </c>
      <c r="C40" s="91" t="s">
        <v>463</v>
      </c>
      <c r="D40" s="91" t="s">
        <v>464</v>
      </c>
      <c r="E40" s="91" t="s">
        <v>465</v>
      </c>
      <c r="F40" s="92" t="s">
        <v>260</v>
      </c>
      <c r="G40" s="92" t="s">
        <v>466</v>
      </c>
      <c r="H40" s="92" t="s">
        <v>467</v>
      </c>
      <c r="I40" s="92" t="s">
        <v>468</v>
      </c>
      <c r="J40" s="93" t="s">
        <v>469</v>
      </c>
      <c r="K40" s="92" t="s">
        <v>470</v>
      </c>
      <c r="L40" s="92" t="s">
        <v>471</v>
      </c>
      <c r="M40" s="73" t="s">
        <v>267</v>
      </c>
      <c r="N40" s="94">
        <v>3.0</v>
      </c>
      <c r="O40" s="95"/>
      <c r="P40" s="5"/>
      <c r="Q40" s="5"/>
      <c r="R40" s="5"/>
      <c r="S40" s="5"/>
      <c r="T40" s="5"/>
      <c r="U40" s="5"/>
      <c r="V40" s="5"/>
      <c r="W40" s="5"/>
      <c r="X40" s="5"/>
      <c r="Y40" s="5"/>
      <c r="Z40" s="5"/>
    </row>
    <row r="41" ht="14.2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42.0" customHeight="1">
      <c r="A42" s="96" t="s">
        <v>472</v>
      </c>
      <c r="B42" s="3"/>
      <c r="C42" s="3"/>
      <c r="D42" s="3"/>
      <c r="E42" s="3"/>
      <c r="F42" s="3"/>
      <c r="G42" s="3"/>
      <c r="H42" s="3"/>
      <c r="I42" s="3"/>
      <c r="J42" s="3"/>
      <c r="K42" s="3"/>
      <c r="L42" s="3"/>
      <c r="M42" s="3"/>
      <c r="N42" s="3"/>
      <c r="O42" s="4"/>
      <c r="P42" s="5"/>
      <c r="Q42" s="5"/>
      <c r="R42" s="5"/>
      <c r="S42" s="5"/>
      <c r="T42" s="5"/>
      <c r="U42" s="5"/>
      <c r="V42" s="5"/>
      <c r="W42" s="5"/>
      <c r="X42" s="5"/>
      <c r="Y42" s="5"/>
      <c r="Z42" s="5"/>
    </row>
    <row r="43" ht="33.75" customHeight="1">
      <c r="A43" s="97" t="s">
        <v>473</v>
      </c>
      <c r="B43" s="3"/>
      <c r="C43" s="3"/>
      <c r="D43" s="3"/>
      <c r="E43" s="3"/>
      <c r="F43" s="3"/>
      <c r="G43" s="3"/>
      <c r="H43" s="3"/>
      <c r="I43" s="3"/>
      <c r="J43" s="3"/>
      <c r="K43" s="3"/>
      <c r="L43" s="3"/>
      <c r="M43" s="3"/>
      <c r="N43" s="3"/>
      <c r="O43" s="4"/>
      <c r="P43" s="5"/>
      <c r="Q43" s="5"/>
      <c r="R43" s="5"/>
      <c r="S43" s="5"/>
      <c r="T43" s="5"/>
      <c r="U43" s="5"/>
      <c r="V43" s="5"/>
      <c r="W43" s="5"/>
      <c r="X43" s="5"/>
      <c r="Y43" s="5"/>
      <c r="Z43" s="5"/>
    </row>
    <row r="44" ht="14.2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4.2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4.2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4.2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4.2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4.2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4.2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4.2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4.2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4.2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4.2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4.2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4.2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4.2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4.2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4.2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4.2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4.2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4.2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4.2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4.2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4.2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4.2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4.2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4.2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4.2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4.2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4.2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4.2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4.2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4.2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4.2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4.2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4.2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4.2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4.2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4.2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4.2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4.2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4.2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4.2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4.2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4.2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4.2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4.2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4.2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4.2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4.2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4.2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4.2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4.2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4.2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4.2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4.2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4.2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4.2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4.2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4.2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4.2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4.2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4.2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4.2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4.2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4.2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4.2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4.2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4.2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4.2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4.2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4.2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4.2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4.2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4.2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4.2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4.2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4.2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4.2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4.2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4.2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4.2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4.2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4.2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4.2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4.2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4.2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4.2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4.2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4.2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4.2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4.2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4.2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4.2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4.2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4.2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4.2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4.2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4.2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4.2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4.2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4.2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4.2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4.2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4.2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4.2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4.2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4.2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4.2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4.2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4.2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4.2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4.2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4.2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4.2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4.2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4.2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4.2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4.2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4.2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4.2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4.2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4.2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4.2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4.2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4.2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4.2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4.2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4.2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4.2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4.2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4.2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4.2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4.2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4.2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4.2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4.2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4.2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4.2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4.2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4.2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4.2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4.2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4.2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4.2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4.2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4.2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4.2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4.2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4.2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4.2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4.2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4.2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4.2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4.2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4.2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4.2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4.2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4.2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4.2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4.2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4.2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4.2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4.2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4.2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4.2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4.2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4.2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4.2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4.2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4.2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4.2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4.2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4.2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4.2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4.2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4.2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4.2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4.2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4.2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4.2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4.2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4.2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4.2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4.2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4.2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4.2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4.2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4.2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4.2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4.2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4.2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4.2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4.2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4.2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4.2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4.2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4.2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4.2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4.2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4.2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4.2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5">
    <mergeCell ref="A1:O1"/>
    <mergeCell ref="A3:O3"/>
    <mergeCell ref="A4:O4"/>
    <mergeCell ref="A42:O42"/>
    <mergeCell ref="A43:O43"/>
  </mergeCells>
  <conditionalFormatting sqref="F11:F40">
    <cfRule type="expression" dxfId="3" priority="1">
      <formula>F11="Hoàn thành &amp; demo được"</formula>
    </cfRule>
  </conditionalFormatting>
  <conditionalFormatting sqref="F11:F40">
    <cfRule type="expression" dxfId="4" priority="2">
      <formula>F11="Hoàn thành nhưng chưa demo"</formula>
    </cfRule>
  </conditionalFormatting>
  <conditionalFormatting sqref="F11:F40">
    <cfRule type="expression" dxfId="5" priority="3">
      <formula>F11="Chưa làm"</formula>
    </cfRule>
  </conditionalFormatting>
  <conditionalFormatting sqref="M11:M40">
    <cfRule type="expression" dxfId="6" priority="4">
      <formula>M11="Có"</formula>
    </cfRule>
  </conditionalFormatting>
  <conditionalFormatting sqref="M11:M40">
    <cfRule type="expression" dxfId="7" priority="5">
      <formula>M11="Không"</formula>
    </cfRule>
  </conditionalFormatting>
  <conditionalFormatting sqref="N11:N40">
    <cfRule type="colorScale" priority="6">
      <colorScale>
        <cfvo type="min"/>
        <cfvo type="percentile" val="50"/>
        <cfvo type="max"/>
        <color rgb="FFF4CCCC"/>
        <color rgb="FFFFE599"/>
        <color rgb="FFB6D7A8"/>
      </colorScale>
    </cfRule>
  </conditionalFormatting>
  <dataValidations>
    <dataValidation type="list" allowBlank="1" sqref="F11:F40">
      <formula1>"Chưa làm,Đang làm,Hoàn thành nhưng chưa demo,Hoàn thành &amp; demo được"</formula1>
    </dataValidation>
    <dataValidation type="list" allowBlank="1" sqref="N11:N40">
      <formula1>"0,1,2,3"</formula1>
    </dataValidation>
    <dataValidation type="list" allowBlank="1" sqref="M11:M40">
      <formula1>"Không,Có"</formula1>
    </dataValidation>
  </dataValidations>
  <hyperlinks>
    <hyperlink r:id="rId1" location="L157-L197" ref="J11"/>
    <hyperlink r:id="rId2" location="L201-L239" ref="J12"/>
    <hyperlink r:id="rId3" location="L78-L112" ref="J13"/>
    <hyperlink r:id="rId4" location="L249-L309" ref="J16"/>
    <hyperlink r:id="rId5" location="L12-L90" ref="J17"/>
    <hyperlink r:id="rId6" location="L201-L239" ref="J18"/>
    <hyperlink r:id="rId7" location="L35-L50" ref="J19"/>
    <hyperlink r:id="rId8" location="L43-L44" ref="J20"/>
    <hyperlink r:id="rId9" location="L31-L35" ref="J21"/>
    <hyperlink r:id="rId10" location="L31-L35" ref="J22"/>
    <hyperlink r:id="rId11" location="L1-L40" ref="J23"/>
    <hyperlink r:id="rId12" location="L286-L296" ref="J24"/>
    <hyperlink r:id="rId13" location="L1-L80" ref="J25"/>
    <hyperlink r:id="rId14" location="L71-L93" ref="J26"/>
    <hyperlink r:id="rId15" location="L7-L47" ref="J27"/>
    <hyperlink r:id="rId16" location="L96-L102" ref="J28"/>
    <hyperlink r:id="rId17" location="L96-L102" ref="J29"/>
    <hyperlink r:id="rId18" location="L3944-L3946" ref="J30"/>
    <hyperlink r:id="rId19" location="L27-L100" ref="J31"/>
    <hyperlink r:id="rId20" location="L1-L17" ref="J32"/>
    <hyperlink r:id="rId21" location="L38-L61" ref="J33"/>
    <hyperlink r:id="rId22" location="L498-L505" ref="J34"/>
    <hyperlink r:id="rId23" location="L1799-L1864" ref="J35"/>
    <hyperlink r:id="rId24" location="L19-L40" ref="J36"/>
    <hyperlink r:id="rId25" location="L25-L190" ref="J37"/>
    <hyperlink r:id="rId26" location="L1864-L1864" ref="J38"/>
    <hyperlink r:id="rId27" location="L27-L100" ref="J39"/>
    <hyperlink r:id="rId28" location="L2542-L2593" ref="J40"/>
  </hyperlinks>
  <printOptions/>
  <pageMargins bottom="0.75" footer="0.0" header="0.0" left="0.7" right="0.7" top="0.75"/>
  <pageSetup orientation="landscape"/>
  <drawing r:id="rId29"/>
</worksheet>
</file>